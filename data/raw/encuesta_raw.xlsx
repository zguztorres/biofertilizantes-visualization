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  <sheet state="visible" name="MATRIZ" sheetId="2" r:id="rId6"/>
    <sheet state="visible" name="PARTE I" sheetId="3" r:id="rId7"/>
    <sheet state="visible" name="PARTE II" sheetId="4" r:id="rId8"/>
    <sheet state="visible" name="PARTE III" sheetId="5" r:id="rId9"/>
  </sheets>
  <definedNames/>
  <calcPr/>
</workbook>
</file>

<file path=xl/sharedStrings.xml><?xml version="1.0" encoding="utf-8"?>
<sst xmlns="http://schemas.openxmlformats.org/spreadsheetml/2006/main" count="2009" uniqueCount="410">
  <si>
    <t>Marca temporal</t>
  </si>
  <si>
    <t>Nombre comercial del biofertilizante que utiliza</t>
  </si>
  <si>
    <t>Tipo de cultivo en el que utiliza biofertilizantes</t>
  </si>
  <si>
    <t>Número de manzanas que cultiva</t>
  </si>
  <si>
    <t xml:space="preserve">Si conoce los principales compuestos del biofertilizante, escríbalos a continuación: </t>
  </si>
  <si>
    <t>¿Cuál fue la producción en quintales que obtuvo en su última cosecha por cada manzana de cultivo?</t>
  </si>
  <si>
    <t>¿Ha notado algún cambio en el nivel de desarrollo de sus plantas después de aplicar el biofertilizante? En caso afirmativo, ¿cómo describiría estos cambios?</t>
  </si>
  <si>
    <t xml:space="preserve">¿Con qué frecuencia y en qué cantidad (por ciclo de cultivo) aplica plaguicidas en su cultivo por cada manzana cultivada? </t>
  </si>
  <si>
    <t>¿Ha notado algún cambio en la cantidad de plaguicidas que utiliza después de aplicar el biofertilizante? En caso afirmativo, ¿podría describir estos cambios?</t>
  </si>
  <si>
    <t>¿Ha notado una disminución o aumento en la presencia de plagas en su cultivo después de utilizar biofertilizantes?</t>
  </si>
  <si>
    <t>¿Con qué frecuencia y en qué cantidad (por ciclo de cultivo)  aplica biofertilizantes  en su cultivo por cada manzana?</t>
  </si>
  <si>
    <t xml:space="preserve"> [He notado cambios negativos en mi cultivo después de aplicar biofertilizantes]</t>
  </si>
  <si>
    <t xml:space="preserve"> [He notado que mi cultivo se ve más saludable  desde que uso biofertilizantes]</t>
  </si>
  <si>
    <t xml:space="preserve"> [He notado que mi cultivo resiste más las malas condiciones ambientales]</t>
  </si>
  <si>
    <t xml:space="preserve"> [Mi cultivo se ve más vigoroso en comparación con agricultores de la zona que no utilizan biofertilizantes]</t>
  </si>
  <si>
    <t xml:space="preserve"> [Mi cultivo es más vigoroso desde que utilizo biofertilizantes]</t>
  </si>
  <si>
    <t xml:space="preserve"> [En general estoy muy satisfecho con los resultados obtenidos al utilizar biofertilizantes]</t>
  </si>
  <si>
    <t xml:space="preserve"> [Estoy de satisfecho con la relación precio-calidad del biofertilizante]</t>
  </si>
  <si>
    <t xml:space="preserve"> [Definitivamente recomendaría el uso de biofertilizantes a amigos o colegas]</t>
  </si>
  <si>
    <t xml:space="preserve"> [Considero que el uso de biofertilizantes ha mejorado la calidad de mi cosecha con el tiempo]</t>
  </si>
  <si>
    <t xml:space="preserve"> [He notado un cambio significativo en las ganancias, desde que comencé a utilizar biofertilizantes]</t>
  </si>
  <si>
    <t xml:space="preserve"> [Tengo una buena producción en términos de rendimiento por manzana cultivada]</t>
  </si>
  <si>
    <t xml:space="preserve"> [El biofertilizante cumple con mis necesidades]</t>
  </si>
  <si>
    <t xml:space="preserve"> [Planeo seguir utilizando biofertilizantes en mis cultivos en el futuro]</t>
  </si>
  <si>
    <t>Si tiene algun comentario o recomendación, puede escribirlo a continuación:</t>
  </si>
  <si>
    <t>Crop plus</t>
  </si>
  <si>
    <t>citricos, naranja, papaya y tomate</t>
  </si>
  <si>
    <t>Algas</t>
  </si>
  <si>
    <t>no aplica</t>
  </si>
  <si>
    <t>Si, estos poseen caracteristicas mejores, que al mismo tiempo disminuyen las enfermedades y plagas, por lo que considero que funcionan con fitoprotectantes.</t>
  </si>
  <si>
    <t>5-8 días</t>
  </si>
  <si>
    <t>Si, se utiliza en menos proporción, ya que estos estimulan protección contra virus y sus vectores, porque la planta se encuentra mas protegida.</t>
  </si>
  <si>
    <t>si, es un poco menos</t>
  </si>
  <si>
    <t>cada 15 dias normalmente, pero si se encuentra el cultivo con alguna enfermedad cada 4 dias en dosis alta (100 cc), ya que normalmente la dosis es de 50 cc.</t>
  </si>
  <si>
    <t>Muy en desacuerdo</t>
  </si>
  <si>
    <t>Totalmente de acuerdo</t>
  </si>
  <si>
    <t>Parcialmente de acuerdo</t>
  </si>
  <si>
    <t>Ni de acuerdo ni desacuerdo</t>
  </si>
  <si>
    <t>Los biofertilizantes funcionan mas en frijol que en maíz. Recomiendo una agricultura de conservacion, es decir, utilizar tanto fertilizantes quimicos como organicos.</t>
  </si>
  <si>
    <t>nitroesten nitrogenadoo granulado quintal</t>
  </si>
  <si>
    <t>Maíz</t>
  </si>
  <si>
    <t>0.5 mz</t>
  </si>
  <si>
    <t>nitrogeno</t>
  </si>
  <si>
    <t>60 en media manzana</t>
  </si>
  <si>
    <t>mejor color, vigorosa</t>
  </si>
  <si>
    <t>3 abonadas y quintal por aonada, 16-20-0 al momento de siembra. a los 15 dias primera,  segunda 25, tercera 35 dias</t>
  </si>
  <si>
    <t>etsal liquido 12cc por bombada 17 litros</t>
  </si>
  <si>
    <t>normalmente, canicula hay mas gusano, lloviendo es menos.</t>
  </si>
  <si>
    <t>3 abonadas</t>
  </si>
  <si>
    <t xml:space="preserve">50 dolares nitroesten... plano...
biofertilizantes no pega, son mas caros...
</t>
  </si>
  <si>
    <t>Biopro</t>
  </si>
  <si>
    <t>no</t>
  </si>
  <si>
    <t>80 qq por manzana</t>
  </si>
  <si>
    <t xml:space="preserve">Si, es mas vigoroza </t>
  </si>
  <si>
    <t>2 bombadas por manzana</t>
  </si>
  <si>
    <t>Si, es menor la insidencia despues de usarla</t>
  </si>
  <si>
    <t>Disminución</t>
  </si>
  <si>
    <t>4 bombadas por manzana</t>
  </si>
  <si>
    <t xml:space="preserve">Mi cultivo es para consumo familiar </t>
  </si>
  <si>
    <t>BIOPRO</t>
  </si>
  <si>
    <t>NO</t>
  </si>
  <si>
    <t>78 qq por manzana</t>
  </si>
  <si>
    <t xml:space="preserve">Si, </t>
  </si>
  <si>
    <t>depende de la incidencia de plagas</t>
  </si>
  <si>
    <t>Si, ha disminuido</t>
  </si>
  <si>
    <t>disminución</t>
  </si>
  <si>
    <t>1 litro por bomba,, entre 4 y 5 bombadas</t>
  </si>
  <si>
    <t>biopro</t>
  </si>
  <si>
    <t>1/2 manzana</t>
  </si>
  <si>
    <t xml:space="preserve">37 qq </t>
  </si>
  <si>
    <t>si, se ve mas saludable</t>
  </si>
  <si>
    <t>depende de como vaya la plaga</t>
  </si>
  <si>
    <t>si se observan mucho menos</t>
  </si>
  <si>
    <t>disminucion</t>
  </si>
  <si>
    <t>1 litro por bomba, 3 -4  veces</t>
  </si>
  <si>
    <t xml:space="preserve">SI, SE VE MAS VERDE </t>
  </si>
  <si>
    <t>DEPENDE DE CUANTA PLAGA TENGA, ENTRE 2 BOMBADAS</t>
  </si>
  <si>
    <t>SI, LA PLANTA RESISTE MAS LA PLAGA</t>
  </si>
  <si>
    <t>DISMINUCION</t>
  </si>
  <si>
    <t>5-7 BOMBADAS POR MANZANA</t>
  </si>
  <si>
    <t>83 qq</t>
  </si>
  <si>
    <t>si la planta crece mejor</t>
  </si>
  <si>
    <t>2 bombadas</t>
  </si>
  <si>
    <t xml:space="preserve">si, uso menos </t>
  </si>
  <si>
    <t xml:space="preserve">disminución </t>
  </si>
  <si>
    <t>1 litro por bomba, entre 3 a 4 veces</t>
  </si>
  <si>
    <t>el cultivo es para consumo personal</t>
  </si>
  <si>
    <t>74 qq</t>
  </si>
  <si>
    <t>la planta se desarolla mejor, y crece mas sana</t>
  </si>
  <si>
    <t xml:space="preserve">depende, pero normalmente entre 3 a 5 bombadas </t>
  </si>
  <si>
    <t>la planta es mas resistente a las plagas</t>
  </si>
  <si>
    <t>si,es menos</t>
  </si>
  <si>
    <t xml:space="preserve">uso hasta 6 bombadas </t>
  </si>
  <si>
    <t xml:space="preserve">1/4 </t>
  </si>
  <si>
    <t>22 qq</t>
  </si>
  <si>
    <t>si, crece mejor</t>
  </si>
  <si>
    <t>1 bombada</t>
  </si>
  <si>
    <t>si uso mucho menos</t>
  </si>
  <si>
    <t>unas 3 bombadas</t>
  </si>
  <si>
    <t>Bio amigo</t>
  </si>
  <si>
    <t>Micorrisas</t>
  </si>
  <si>
    <t>No</t>
  </si>
  <si>
    <t xml:space="preserve">Cada 10 días. </t>
  </si>
  <si>
    <t>Cada 10 días</t>
  </si>
  <si>
    <t>Algo en desacuerdo</t>
  </si>
  <si>
    <t>Micorrizas - Bioamigo</t>
  </si>
  <si>
    <t>Maíz, Sorgo/Maicillo</t>
  </si>
  <si>
    <t>1,5 Manzanas</t>
  </si>
  <si>
    <t>Hongos</t>
  </si>
  <si>
    <t>85 quintales</t>
  </si>
  <si>
    <t>Si</t>
  </si>
  <si>
    <t>2 veces, folidol</t>
  </si>
  <si>
    <t>lo mismo</t>
  </si>
  <si>
    <t>disminuyo un poco</t>
  </si>
  <si>
    <t xml:space="preserve">al momento de la siembra polvo de roca y micorrizas en la semilla antes de sembrar </t>
  </si>
  <si>
    <t>Polvo de roca, gallinaza, vacaza</t>
  </si>
  <si>
    <t>0,5 Mz</t>
  </si>
  <si>
    <t>si, arrancan con mas vigor porque también a la siembra uso polvo de roca y eso ayuda a levantar la planta.</t>
  </si>
  <si>
    <t>Yo uso blindaje 3 veces por ciclo</t>
  </si>
  <si>
    <t>ha bajado un poco</t>
  </si>
  <si>
    <t>a bajado un poco</t>
  </si>
  <si>
    <t>1 vez por ciclo</t>
  </si>
  <si>
    <t>Micorrizas</t>
  </si>
  <si>
    <t>1 Mz</t>
  </si>
  <si>
    <t>si, a raíces son mejores</t>
  </si>
  <si>
    <t>2 veces</t>
  </si>
  <si>
    <t>se ha mantenido</t>
  </si>
  <si>
    <t>1 vez</t>
  </si>
  <si>
    <t>Pero siempre uso 16-20-0 mas que todo</t>
  </si>
  <si>
    <t>Polvo de roca, bioamigo</t>
  </si>
  <si>
    <t>Hongo</t>
  </si>
  <si>
    <t>Si, es mas verdecita y se ve mas frondosa</t>
  </si>
  <si>
    <t>2 veces para el cogollero</t>
  </si>
  <si>
    <t>pues siempre uso lo mismo</t>
  </si>
  <si>
    <t>menos</t>
  </si>
  <si>
    <t>2 veces porque cuando siembro y le riego también vacaza</t>
  </si>
  <si>
    <t>Hago 3 abonadas, la segunda la hago con triple 15 y la ultima con sulfato</t>
  </si>
  <si>
    <t>Bocachi</t>
  </si>
  <si>
    <t>Bacteria</t>
  </si>
  <si>
    <t>si, nace mas rápido y la mayoría germina</t>
  </si>
  <si>
    <t>Yo solo uso cipermetrina antes de la siembra</t>
  </si>
  <si>
    <t>los mismo</t>
  </si>
  <si>
    <t>1 sola vez</t>
  </si>
  <si>
    <t>No, yo no lo utilizaria, sirve pero cuesta encontrarlo y con lo que han subido los abonos</t>
  </si>
  <si>
    <t>Rastrojo, micorriza bioamigo, polvo de roca</t>
  </si>
  <si>
    <t>Maíz, Sorgo/Maicillo, Frijol</t>
  </si>
  <si>
    <t>La planta tiene mas follaje y mejora la raiz</t>
  </si>
  <si>
    <t>unas 3 veces para el gusano</t>
  </si>
  <si>
    <t xml:space="preserve">bajo </t>
  </si>
  <si>
    <t>bajo</t>
  </si>
  <si>
    <t>cuando se hara la tierra se le hecha regadito el polvo de roca y el bioamigo se le hecha a la semilla antes de sembrarla, solo eso de ahi sulfato con 16-20-0 mezclado le doy 3 abonadas</t>
  </si>
  <si>
    <t>Gallinaza, rastrojo, bioamigo</t>
  </si>
  <si>
    <t>Maíz, Sorgo/Maicillo, frijol</t>
  </si>
  <si>
    <t>Bueno, mas firme y mejores raices, yo siembro en ladera y la planta crece bien por las raices</t>
  </si>
  <si>
    <t xml:space="preserve">2 veces con volaton </t>
  </si>
  <si>
    <t>poco</t>
  </si>
  <si>
    <t>algo menos</t>
  </si>
  <si>
    <t>3 abonadas con formula y sulfato a los 10, 25 y 35 dias</t>
  </si>
  <si>
    <t>Rastrojo, polvo de roca</t>
  </si>
  <si>
    <t>Nace mas pronto y enraíza mas</t>
  </si>
  <si>
    <t>Yo uso el insecticida misil 2 veces</t>
  </si>
  <si>
    <t>lo mismo como eso no es para la plaga</t>
  </si>
  <si>
    <t>casi igual</t>
  </si>
  <si>
    <t>fijese que como yo dejo el rastrojo y eso ayuda despues con polvo de roca regadito</t>
  </si>
  <si>
    <t>siempre uso 16-20-0 3 abonadas le doy, la primera a la siembra, la segunda a los 15 días y a los 30-35 días la otra</t>
  </si>
  <si>
    <t>Micorrizas bioamigo y polvo de roca</t>
  </si>
  <si>
    <t>1,5 mz</t>
  </si>
  <si>
    <t>microorganismos</t>
  </si>
  <si>
    <t>se ve mejor</t>
  </si>
  <si>
    <t>volaton granulado uso para el gusano una sola vez le pongo</t>
  </si>
  <si>
    <t>menos se usa, llega menos plaga</t>
  </si>
  <si>
    <t>como eso antes de sembra el bioamigo y a la siembra el polvo de roca, ya despues el abono; a los 8 dias uso formula 16-20-0, a los 20 dias otra vez y la ultima alla por los 30-35 dias sulfato</t>
  </si>
  <si>
    <t>yo uso H-59 pero si usara semilla Dekal 390 sacara mas quintales, esa semilla es buena y con el bioamigo ya se enraiza mejor y hay mas vida</t>
  </si>
  <si>
    <t>Sorgo/Maicillo</t>
  </si>
  <si>
    <t>1/4</t>
  </si>
  <si>
    <t>37 qq</t>
  </si>
  <si>
    <t>Si, la planta reciste mas la plaga</t>
  </si>
  <si>
    <t>1-2 veces por ciclo</t>
  </si>
  <si>
    <t>Si, ahora uso menos</t>
  </si>
  <si>
    <t>38 qq</t>
  </si>
  <si>
    <t>si, la planta se va desarollando mejor</t>
  </si>
  <si>
    <t xml:space="preserve">2 veces </t>
  </si>
  <si>
    <t>si con el tiempo he usado menos</t>
  </si>
  <si>
    <t>ORGANOSATO</t>
  </si>
  <si>
    <t>Maíz, Sorgo/Maicillo, Caña de azúcar</t>
  </si>
  <si>
    <t>Ácidos fúlvicos y húmicos</t>
  </si>
  <si>
    <t>98 quintales</t>
  </si>
  <si>
    <t>Si, mayor llenado de grano en maíz, el rebrote en sorgo es mayor.</t>
  </si>
  <si>
    <t>2 veces, aplico Volaton granulado 12 Kg/Mz</t>
  </si>
  <si>
    <t>No ha variado mucho</t>
  </si>
  <si>
    <t>Es similar</t>
  </si>
  <si>
    <t>3 veces, 150 cc por bomba de 4 galones</t>
  </si>
  <si>
    <t>El litro del Organosato ronda los $26 litro</t>
  </si>
  <si>
    <t>Albamin</t>
  </si>
  <si>
    <t>Arroz</t>
  </si>
  <si>
    <t>Nitrógeno orgánico, materia orgánica y aminoácidos</t>
  </si>
  <si>
    <t>150 quintales</t>
  </si>
  <si>
    <t>Mas frondoso y aumento en el peso del gajo; también se debe a que cambiamos de utilizar semilla a criolla a otra semilla mejorada.</t>
  </si>
  <si>
    <t>3 veces</t>
  </si>
  <si>
    <t>si ha bajado</t>
  </si>
  <si>
    <t>dismiuyo</t>
  </si>
  <si>
    <t>4 veces, 500 ml por 200 litros de agua</t>
  </si>
  <si>
    <t>la verdad que siempre es bueno utilizar otra formulas, el medio litro anda mas o menos a $15 de este producto</t>
  </si>
  <si>
    <t>Organosato</t>
  </si>
  <si>
    <t>1 mz</t>
  </si>
  <si>
    <t>Nitrogeno</t>
  </si>
  <si>
    <t>Es para forraje</t>
  </si>
  <si>
    <t>Si es mas verdecito y al rebrote me da mas para el silo.</t>
  </si>
  <si>
    <t>1 vez, 1 litro de lannate liquido (piton)</t>
  </si>
  <si>
    <t xml:space="preserve"> mas bajo</t>
  </si>
  <si>
    <t>siempre llegan pero ya con lannate logra matener</t>
  </si>
  <si>
    <t>3 veces 200 cc por bomba de 4 galones</t>
  </si>
  <si>
    <t>Algas marinas</t>
  </si>
  <si>
    <t>Mejor llenado</t>
  </si>
  <si>
    <t>3 veces, y galón por manzana</t>
  </si>
  <si>
    <t>1 vez; 0,5 L/Mz</t>
  </si>
  <si>
    <t>Este biofertilizante me sirve puntualmente para llenado de grano, de ahi hago 3 abonadas pero con quimico</t>
  </si>
  <si>
    <t xml:space="preserve">Algas Marinas </t>
  </si>
  <si>
    <t>Probablemente un mejor llenado</t>
  </si>
  <si>
    <t>3 veces y un galón por manzana</t>
  </si>
  <si>
    <t>1 vez... 0,5 L/Mz</t>
  </si>
  <si>
    <t>Este biofertilizante me sirve puntualmente para favorecer llenado de grano de ahí no considero que tenga otros efectos, de ahí hago 3 abonadas pero con químico y es lo que realmente me levanta desde estadios tempranos la planta.</t>
  </si>
  <si>
    <t># RESPUESTA</t>
  </si>
  <si>
    <t>PRODUCTO</t>
  </si>
  <si>
    <t>Nitroesten</t>
  </si>
  <si>
    <t>CULTIVO</t>
  </si>
  <si>
    <t>MAIZ</t>
  </si>
  <si>
    <t># MANZANAS</t>
  </si>
  <si>
    <t>0.5</t>
  </si>
  <si>
    <t>COMPUESTO</t>
  </si>
  <si>
    <t>Nitrogeo</t>
  </si>
  <si>
    <t>X</t>
  </si>
  <si>
    <t>PRODUC. X MANZ.</t>
  </si>
  <si>
    <t>60  media manzana</t>
  </si>
  <si>
    <t xml:space="preserve">HA NOTADO UN CAMBIO EN 
EL NIVEL DE DESAROLLO? </t>
  </si>
  <si>
    <t>Si, mejor color 
y mas vigorosa</t>
  </si>
  <si>
    <t xml:space="preserve">
Si, es mas vigorosa</t>
  </si>
  <si>
    <t>si</t>
  </si>
  <si>
    <t>si se ve mas verde</t>
  </si>
  <si>
    <t>FRECUENCIA DE USO 
DE PLAGUICIDAS</t>
  </si>
  <si>
    <t>depende de la inicidencia
de plagas</t>
  </si>
  <si>
    <t xml:space="preserve">depende </t>
  </si>
  <si>
    <t>HA NOTADO UN CAMBIO EN 
EL USO DE PLAGICIDAS?</t>
  </si>
  <si>
    <t>Si, es menor la insidencia 
despues de usarla</t>
  </si>
  <si>
    <t>si se observan
mucho menos</t>
  </si>
  <si>
    <t>si, la planta resiste 
mas la plaga</t>
  </si>
  <si>
    <t>DISMINUCION O AUMENTO?</t>
  </si>
  <si>
    <t>FRECUENCIA DE USO DEL
BIOFERTILIZANTE x ciclo</t>
  </si>
  <si>
    <t>FRECUENCIA DE USO 
DEL BIOFERTILIZANTE</t>
  </si>
  <si>
    <t>TOTAL PARTE II</t>
  </si>
  <si>
    <t>TOTAL PARTE III</t>
  </si>
  <si>
    <t>Bioamigo</t>
  </si>
  <si>
    <t>BIOAMIGO</t>
  </si>
  <si>
    <t>si, la planta crece mejor</t>
  </si>
  <si>
    <t>Si,la planta se desarolla
y crece mas sana</t>
  </si>
  <si>
    <t>Si, crece mejor</t>
  </si>
  <si>
    <t xml:space="preserve">
no</t>
  </si>
  <si>
    <t>x</t>
  </si>
  <si>
    <t>Si, uso menos</t>
  </si>
  <si>
    <t>ninguno</t>
  </si>
  <si>
    <t>si, es menos</t>
  </si>
  <si>
    <t>Polvo de roca, gallinaza,vacaza</t>
  </si>
  <si>
    <t>Bioamigo (polvo roca)</t>
  </si>
  <si>
    <t>Bioamigo (rastrojo, polvo roca)</t>
  </si>
  <si>
    <t>Bacterias</t>
  </si>
  <si>
    <t>Si, arranca con mas vigor</t>
  </si>
  <si>
    <t xml:space="preserve">
Si,las raices son mejores</t>
  </si>
  <si>
    <t>Si, es mas verde 
y frondosa</t>
  </si>
  <si>
    <t>Nace mas rapido y 
la mayoría germina</t>
  </si>
  <si>
    <t>Si, la planta tiene 
mas follaje y mejora 
la raiz</t>
  </si>
  <si>
    <t>Ha bajado un poco</t>
  </si>
  <si>
    <t>Se ha mantenido</t>
  </si>
  <si>
    <t>SIempre uso lo 
mismo</t>
  </si>
  <si>
    <t>Bajo</t>
  </si>
  <si>
    <t>Lo mismo</t>
  </si>
  <si>
    <t>Bioamigo (gallinaza, y rastrojo)</t>
  </si>
  <si>
    <t>Rastrojo y polvo de roca</t>
  </si>
  <si>
    <t>Bioamigo (polvo de roca)</t>
  </si>
  <si>
    <t xml:space="preserve">Maíz </t>
  </si>
  <si>
    <t>SORGO</t>
  </si>
  <si>
    <t>Microorganismos</t>
  </si>
  <si>
    <t>SI, mas firme, y mejores raices</t>
  </si>
  <si>
    <t xml:space="preserve">Nace mas pronto y 
enraìza mas </t>
  </si>
  <si>
    <t>Se ve mejor</t>
  </si>
  <si>
    <t>Si, la planta reciste 
mas la plaga</t>
  </si>
  <si>
    <t>Si, la planta crece mejor</t>
  </si>
  <si>
    <t>Menos se usa, llega 
menos plaga</t>
  </si>
  <si>
    <t>si, uso menos</t>
  </si>
  <si>
    <t>ORGOSANTO</t>
  </si>
  <si>
    <t>ALBAMIN</t>
  </si>
  <si>
    <t>CROP PLUS</t>
  </si>
  <si>
    <t>ARROZ</t>
  </si>
  <si>
    <t>Acidos fúlvicos y húmicos</t>
  </si>
  <si>
    <t>Mayor llenado del grano de maiz</t>
  </si>
  <si>
    <t>Mas frondoso y aumento el 
peso del gajo</t>
  </si>
  <si>
    <t>La planta es mas verde y 
el rebrote de mas para el silo</t>
  </si>
  <si>
    <t>Si ha bajado</t>
  </si>
  <si>
    <t>Es mas baji</t>
  </si>
  <si>
    <t>Similar</t>
  </si>
  <si>
    <t>ninguna</t>
  </si>
  <si>
    <t>NOTA: HICIERON CAMBIO DE
SEMILLA</t>
  </si>
  <si>
    <t>Nombre comercial del biofertilizante 
que utiliza</t>
  </si>
  <si>
    <t>Tipo de cultivo 
en el que utiliza 
biofertilizantes</t>
  </si>
  <si>
    <t>[He notado cambios 
negativos en mi cultivo
después de aplicar 
biofertilizantes]</t>
  </si>
  <si>
    <t xml:space="preserve"> [He notado que mi 
cultivo se ve más 
saludable desde 
que uso biofertilizantes]</t>
  </si>
  <si>
    <t xml:space="preserve"> [He notado que mi 
cultivo resiste más 
las malas condiciones 
ambientales]</t>
  </si>
  <si>
    <t xml:space="preserve"> [Mi cultivo se ve más vigoroso 
en comparación con 
agricultores de la 
zona que no utilizan biofertilizantes]</t>
  </si>
  <si>
    <t>[Mi cultivo es más 
vigoroso desde que
utilizo biofertilizantes]</t>
  </si>
  <si>
    <t>[En general estoy 
muy satisfecho con los 
resultados obtenidos al 
utilizar biofertilizantes]</t>
  </si>
  <si>
    <t xml:space="preserve"> [Estoy de satisfecho 
con la relación precio-
calidad del biofertilizante]</t>
  </si>
  <si>
    <t xml:space="preserve"> [Definitivamente recomendaría 
el uso de biofertilizantes a 
amigos o colegas]</t>
  </si>
  <si>
    <t xml:space="preserve"> [Considero que el uso 
de biofertilizantes ha 
mejorado la calidad de 
mi cosecha con el tiempo]</t>
  </si>
  <si>
    <t xml:space="preserve"> [He notado un cambio significativo 
en las ganancias, desde que 
comencé a utilizar biofertilizantes]</t>
  </si>
  <si>
    <t xml:space="preserve"> [Tengo una buena producción 
en términos de rendimiento por 
manzana cultivada]</t>
  </si>
  <si>
    <t xml:space="preserve"> [El biofertilizante cumple 
con mis necesidades]</t>
  </si>
  <si>
    <t xml:space="preserve"> [Planeo seguir utilizando 
biofertilizantes en mis 
cultivos en el futuro]</t>
  </si>
  <si>
    <t># RESP-
UESTA</t>
  </si>
  <si>
    <t>TIPO 
CULTIVO</t>
  </si>
  <si>
    <t># MANZANAS
CULTIVADAS</t>
  </si>
  <si>
    <t>CONOCIMIENTO 
DEL COMPUESTO</t>
  </si>
  <si>
    <t>PRODUCCIÓN
X MANZANA</t>
  </si>
  <si>
    <t>FRECUENCIA
DEL PLAGUICIDAS</t>
  </si>
  <si>
    <t>DISMINUCIÓN
/AUMENTO</t>
  </si>
  <si>
    <t xml:space="preserve">USO DE BIOFERTILIZANTES EN EL CULTIVO DE MAÍZ </t>
  </si>
  <si>
    <t>NITROESTEN</t>
  </si>
  <si>
    <t>SI</t>
  </si>
  <si>
    <t>DISMINUCIÓN</t>
  </si>
  <si>
    <t>PROMEDIO</t>
  </si>
  <si>
    <t>MODA</t>
  </si>
  <si>
    <t>P</t>
  </si>
  <si>
    <t>NITROXSTEND</t>
  </si>
  <si>
    <t>USO DE PLAGUCIDAS</t>
  </si>
  <si>
    <t>T</t>
  </si>
  <si>
    <t>TIPO DE CULTIVO</t>
  </si>
  <si>
    <t>NINGUNO</t>
  </si>
  <si>
    <t>FRECUENCIA DE USO</t>
  </si>
  <si>
    <t>TIPO DE BIOFERTILIZANTE</t>
  </si>
  <si>
    <t>ENMIENDAS ORGANICAS</t>
  </si>
  <si>
    <t>MANZANAS CULTIVADAS MODA</t>
  </si>
  <si>
    <t>DATOS</t>
  </si>
  <si>
    <t>PORCENTAJE</t>
  </si>
  <si>
    <t>CANTIDAD</t>
  </si>
  <si>
    <t>TOTAL</t>
  </si>
  <si>
    <t>18</t>
  </si>
  <si>
    <t>CONOCE EL COMPUESTO</t>
  </si>
  <si>
    <t>NO CONOCE EL COMPUESTO</t>
  </si>
  <si>
    <t>NOTA UNA DISMINUCIÓN</t>
  </si>
  <si>
    <t>NO NOTA NINGUN CAMBIO</t>
  </si>
  <si>
    <t>QQ X MANZANA</t>
  </si>
  <si>
    <t>0.5 MZ CULTIVADAS</t>
  </si>
  <si>
    <t>ENTRE 1-2 MZ CULTIVADAS</t>
  </si>
  <si>
    <t>MAS DE 3 MZ CULTIVADAS</t>
  </si>
  <si>
    <t>Formula del procentaje de aumento</t>
  </si>
  <si>
    <t>PARTE II: NIVEL DE CAMBIOS EN EL CULTIVO</t>
  </si>
  <si>
    <t xml:space="preserve">Nivel de satisfacción </t>
  </si>
  <si>
    <t>Nivel de desarollo del cultivo</t>
  </si>
  <si>
    <t>Ago en desacuerdo</t>
  </si>
  <si>
    <t>Alto</t>
  </si>
  <si>
    <t>32-40</t>
  </si>
  <si>
    <t>19-22</t>
  </si>
  <si>
    <t>Medio</t>
  </si>
  <si>
    <t>17-31</t>
  </si>
  <si>
    <t>14-18</t>
  </si>
  <si>
    <t>8 -16 puntos</t>
  </si>
  <si>
    <t>8-13</t>
  </si>
  <si>
    <t>Toralmente de acuerdo</t>
  </si>
  <si>
    <t>N°</t>
  </si>
  <si>
    <t>He notado cambios negativos en mi cultivo después de aplicar biofertilizantes</t>
  </si>
  <si>
    <t>a</t>
  </si>
  <si>
    <t>b</t>
  </si>
  <si>
    <t>En general estoy muy satisfecho con los resultados obtenidos al utilizar biofertilizantes</t>
  </si>
  <si>
    <t>He notado que mi cultivo se ve más saludable desde que uso biofertilizantes</t>
  </si>
  <si>
    <t>Estoy de satisfecho con la relación precio-calidad del biofertilizante</t>
  </si>
  <si>
    <t>He notado que mi cultivo resiste más las malas condiciones ambientales</t>
  </si>
  <si>
    <t>Definitivamente recomendaría el uso de biofertilizantes a amigos o colegas</t>
  </si>
  <si>
    <t>Mi cultivo se ve más vigoroso en comparación con agricultores de la zona que no utilizan biofertilizantes</t>
  </si>
  <si>
    <t>Considero que el uso de biofertilizantes ha mejorado la calidad de mi cosecha con el tiempo</t>
  </si>
  <si>
    <t>Mi cultivo es más vigoroso desde que utilizo biofertilizantes</t>
  </si>
  <si>
    <t>He notado un cambio significativo en las ganancias, desde que comencé a utilizar biofertilizantes</t>
  </si>
  <si>
    <t>Tengo una buena producción en términos de rendimiento por manzana cultivada</t>
  </si>
  <si>
    <t>N° RESPUESTAS</t>
  </si>
  <si>
    <t>TABLA 1</t>
  </si>
  <si>
    <t>TABLA 2</t>
  </si>
  <si>
    <t>TIPO DE 
CULTIVO</t>
  </si>
  <si>
    <t>TIPO DE BIO-
FERTILIZANTE</t>
  </si>
  <si>
    <t>POTENCIAL</t>
  </si>
  <si>
    <t>El biofertilizante cumple con mis necesidades</t>
  </si>
  <si>
    <t>ALTO</t>
  </si>
  <si>
    <t>Planeo seguir utilizando biofertilizantes en mis cultivos en el futuro</t>
  </si>
  <si>
    <t>NIVEL DE DESAROLLO</t>
  </si>
  <si>
    <t>NIVEL</t>
  </si>
  <si>
    <t>TOTAL TABLA 1</t>
  </si>
  <si>
    <t>MEDIO ALTO</t>
  </si>
  <si>
    <t>MEDIO</t>
  </si>
  <si>
    <t>DESAROLLO</t>
  </si>
  <si>
    <t>SATISFACCIÓN</t>
  </si>
  <si>
    <t>BAJO</t>
  </si>
  <si>
    <t>NIVEL DE SATISFACCIÓN</t>
  </si>
  <si>
    <t>TOTAL TABLA 2</t>
  </si>
  <si>
    <t>MEZCLA 1</t>
  </si>
  <si>
    <t>BOCACHI</t>
  </si>
  <si>
    <t>MEZCLA 2</t>
  </si>
  <si>
    <t>NIVEL DE DESAROLLO Y SATISFACCIÓN POR TIPO DE BIOFERTILIZANTE</t>
  </si>
  <si>
    <t xml:space="preserve">NIVEL DE DESAROLLO POR TIPO DE CULTIVO </t>
  </si>
  <si>
    <t>NIVEL DE SATISFACCIÓN POR TIPO DE CULTIVO</t>
  </si>
  <si>
    <t xml:space="preserve"> ALTO</t>
  </si>
  <si>
    <t xml:space="preserve">NIVEL DE DESAROLLO Y SATISFACCIÓN POR TIPO DE CULTIVO </t>
  </si>
  <si>
    <t>NIVEL DE SATISFACCIÓN POR BIOFERTILIZANTE</t>
  </si>
  <si>
    <t>ALBAMI</t>
  </si>
  <si>
    <t>NIVEL DE DESAROLLO POR BIOFERTILIZANTE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</si>
</sst>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:ss"/>
    <numFmt numFmtId="165" formatCode="d.m"/>
    <numFmt numFmtId="166" formatCode="0.0%"/>
    <numFmt numFmtId="167" formatCode="#,##0.0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color theme="1"/>
      <name val="Arial"/>
    </font>
    <font>
      <b/>
      <color theme="1"/>
      <name val="Arial"/>
    </font>
    <font>
      <b/>
      <sz val="9.0"/>
      <color rgb="FF000000"/>
      <name val="Arial"/>
    </font>
    <font>
      <sz val="9.0"/>
      <color rgb="FF000000"/>
      <name val="Arial"/>
    </font>
    <font>
      <color rgb="FF000000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D5A6BD"/>
        <bgColor rgb="FFD5A6BD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7E1CD"/>
        <bgColor rgb="FFB7E1CD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57BB8A"/>
        <bgColor rgb="FF57BB8A"/>
      </patternFill>
    </fill>
    <fill>
      <patternFill patternType="solid">
        <fgColor rgb="FFE06666"/>
        <bgColor rgb="FFE06666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20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2" fontId="1" numFmtId="164" xfId="0" applyAlignment="1" applyFill="1" applyFont="1" applyNumberFormat="1">
      <alignment readingOrder="0"/>
    </xf>
    <xf borderId="0" fillId="2" fontId="1" numFmtId="0" xfId="0" applyAlignment="1" applyFont="1">
      <alignment readingOrder="0"/>
    </xf>
    <xf borderId="0" fillId="2" fontId="1" numFmtId="0" xfId="0" applyFont="1"/>
    <xf quotePrefix="1" borderId="0" fillId="2" fontId="1" numFmtId="0" xfId="0" applyAlignment="1" applyFont="1">
      <alignment readingOrder="0"/>
    </xf>
    <xf borderId="0" fillId="3" fontId="1" numFmtId="164" xfId="0" applyAlignment="1" applyFill="1" applyFont="1" applyNumberFormat="1">
      <alignment readingOrder="0"/>
    </xf>
    <xf borderId="0" fillId="3" fontId="1" numFmtId="0" xfId="0" applyAlignment="1" applyFont="1">
      <alignment readingOrder="0"/>
    </xf>
    <xf borderId="0" fillId="3" fontId="1" numFmtId="0" xfId="0" applyFont="1"/>
    <xf borderId="0" fillId="4" fontId="1" numFmtId="164" xfId="0" applyAlignment="1" applyFill="1" applyFont="1" applyNumberFormat="1">
      <alignment readingOrder="0"/>
    </xf>
    <xf borderId="0" fillId="4" fontId="1" numFmtId="0" xfId="0" applyAlignment="1" applyFont="1">
      <alignment readingOrder="0"/>
    </xf>
    <xf borderId="0" fillId="4" fontId="1" numFmtId="0" xfId="0" applyFont="1"/>
    <xf borderId="0" fillId="5" fontId="1" numFmtId="164" xfId="0" applyAlignment="1" applyFill="1" applyFont="1" applyNumberFormat="1">
      <alignment readingOrder="0"/>
    </xf>
    <xf borderId="0" fillId="5" fontId="1" numFmtId="0" xfId="0" applyAlignment="1" applyFont="1">
      <alignment readingOrder="0"/>
    </xf>
    <xf borderId="0" fillId="5" fontId="1" numFmtId="0" xfId="0" applyFont="1"/>
    <xf borderId="0" fillId="6" fontId="1" numFmtId="164" xfId="0" applyAlignment="1" applyFill="1" applyFont="1" applyNumberFormat="1">
      <alignment readingOrder="0"/>
    </xf>
    <xf borderId="0" fillId="6" fontId="1" numFmtId="0" xfId="0" applyAlignment="1" applyFont="1">
      <alignment readingOrder="0"/>
    </xf>
    <xf borderId="0" fillId="6" fontId="1" numFmtId="0" xfId="0" applyFont="1"/>
    <xf borderId="0" fillId="7" fontId="1" numFmtId="164" xfId="0" applyAlignment="1" applyFill="1" applyFont="1" applyNumberFormat="1">
      <alignment readingOrder="0"/>
    </xf>
    <xf borderId="0" fillId="7" fontId="1" numFmtId="0" xfId="0" applyAlignment="1" applyFont="1">
      <alignment readingOrder="0"/>
    </xf>
    <xf borderId="0" fillId="7" fontId="1" numFmtId="0" xfId="0" applyFont="1"/>
    <xf borderId="0" fillId="0" fontId="1" numFmtId="0" xfId="0" applyFont="1"/>
    <xf borderId="1" fillId="8" fontId="1" numFmtId="0" xfId="0" applyAlignment="1" applyBorder="1" applyFill="1" applyFont="1">
      <alignment readingOrder="0"/>
    </xf>
    <xf borderId="1" fillId="8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2" fillId="0" fontId="2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/>
    </xf>
    <xf borderId="3" fillId="0" fontId="3" numFmtId="0" xfId="0" applyBorder="1" applyFont="1"/>
    <xf borderId="1" fillId="0" fontId="1" numFmtId="0" xfId="0" applyBorder="1" applyFont="1"/>
    <xf borderId="2" fillId="0" fontId="1" numFmtId="165" xfId="0" applyAlignment="1" applyBorder="1" applyFont="1" applyNumberFormat="1">
      <alignment horizontal="center" readingOrder="0"/>
    </xf>
    <xf borderId="1" fillId="0" fontId="1" numFmtId="165" xfId="0" applyAlignment="1" applyBorder="1" applyFont="1" applyNumberFormat="1">
      <alignment horizontal="center" readingOrder="0"/>
    </xf>
    <xf borderId="1" fillId="0" fontId="1" numFmtId="165" xfId="0" applyAlignment="1" applyBorder="1" applyFont="1" applyNumberFormat="1">
      <alignment readingOrder="0"/>
    </xf>
    <xf borderId="1" fillId="8" fontId="4" numFmtId="0" xfId="0" applyAlignment="1" applyBorder="1" applyFont="1">
      <alignment vertical="bottom"/>
    </xf>
    <xf borderId="4" fillId="8" fontId="5" numFmtId="0" xfId="0" applyAlignment="1" applyBorder="1" applyFont="1">
      <alignment horizontal="center" readingOrder="0" vertical="bottom"/>
    </xf>
    <xf borderId="3" fillId="0" fontId="5" numFmtId="0" xfId="0" applyAlignment="1" applyBorder="1" applyFont="1">
      <alignment vertical="bottom"/>
    </xf>
    <xf borderId="5" fillId="0" fontId="4" numFmtId="0" xfId="0" applyAlignment="1" applyBorder="1" applyFont="1">
      <alignment horizontal="center" readingOrder="0" vertical="bottom"/>
    </xf>
    <xf borderId="5" fillId="0" fontId="4" numFmtId="0" xfId="0" applyAlignment="1" applyBorder="1" applyFont="1">
      <alignment horizontal="center" vertical="bottom"/>
    </xf>
    <xf borderId="6" fillId="0" fontId="5" numFmtId="0" xfId="0" applyAlignment="1" applyBorder="1" applyFont="1">
      <alignment vertical="bottom"/>
    </xf>
    <xf borderId="7" fillId="0" fontId="4" numFmtId="0" xfId="0" applyAlignment="1" applyBorder="1" applyFont="1">
      <alignment horizontal="center" readingOrder="0" vertical="bottom"/>
    </xf>
    <xf borderId="5" fillId="0" fontId="3" numFmtId="0" xfId="0" applyBorder="1" applyFont="1"/>
    <xf borderId="5" fillId="0" fontId="4" numFmtId="0" xfId="0" applyAlignment="1" applyBorder="1" applyFont="1">
      <alignment readingOrder="0" vertical="bottom"/>
    </xf>
    <xf borderId="0" fillId="0" fontId="1" numFmtId="0" xfId="0" applyAlignment="1" applyFont="1">
      <alignment readingOrder="0"/>
    </xf>
    <xf borderId="8" fillId="0" fontId="1" numFmtId="0" xfId="0" applyAlignment="1" applyBorder="1" applyFont="1">
      <alignment readingOrder="0"/>
    </xf>
    <xf borderId="9" fillId="0" fontId="3" numFmtId="0" xfId="0" applyBorder="1" applyFont="1"/>
    <xf borderId="10" fillId="0" fontId="3" numFmtId="0" xfId="0" applyBorder="1" applyFont="1"/>
    <xf borderId="11" fillId="0" fontId="1" numFmtId="0" xfId="0" applyAlignment="1" applyBorder="1" applyFont="1">
      <alignment readingOrder="0"/>
    </xf>
    <xf borderId="11" fillId="0" fontId="1" numFmtId="0" xfId="0" applyBorder="1" applyFont="1"/>
    <xf borderId="11" fillId="2" fontId="1" numFmtId="0" xfId="0" applyAlignment="1" applyBorder="1" applyFont="1">
      <alignment readingOrder="0"/>
    </xf>
    <xf borderId="11" fillId="2" fontId="1" numFmtId="0" xfId="0" applyBorder="1" applyFont="1"/>
    <xf borderId="11" fillId="3" fontId="1" numFmtId="0" xfId="0" applyAlignment="1" applyBorder="1" applyFont="1">
      <alignment readingOrder="0"/>
    </xf>
    <xf borderId="11" fillId="3" fontId="1" numFmtId="0" xfId="0" applyBorder="1" applyFont="1"/>
    <xf borderId="11" fillId="4" fontId="1" numFmtId="0" xfId="0" applyAlignment="1" applyBorder="1" applyFont="1">
      <alignment readingOrder="0"/>
    </xf>
    <xf borderId="11" fillId="4" fontId="1" numFmtId="0" xfId="0" applyBorder="1" applyFont="1"/>
    <xf borderId="10" fillId="2" fontId="1" numFmtId="0" xfId="0" applyAlignment="1" applyBorder="1" applyFont="1">
      <alignment readingOrder="0"/>
    </xf>
    <xf borderId="8" fillId="2" fontId="1" numFmtId="0" xfId="0" applyAlignment="1" applyBorder="1" applyFont="1">
      <alignment readingOrder="0"/>
    </xf>
    <xf borderId="11" fillId="5" fontId="1" numFmtId="0" xfId="0" applyAlignment="1" applyBorder="1" applyFont="1">
      <alignment readingOrder="0"/>
    </xf>
    <xf borderId="11" fillId="5" fontId="1" numFmtId="0" xfId="0" applyBorder="1" applyFont="1"/>
    <xf borderId="10" fillId="6" fontId="1" numFmtId="0" xfId="0" applyAlignment="1" applyBorder="1" applyFont="1">
      <alignment readingOrder="0"/>
    </xf>
    <xf borderId="12" fillId="5" fontId="1" numFmtId="0" xfId="0" applyAlignment="1" applyBorder="1" applyFont="1">
      <alignment readingOrder="0"/>
    </xf>
    <xf borderId="12" fillId="7" fontId="1" numFmtId="0" xfId="0" applyAlignment="1" applyBorder="1" applyFont="1">
      <alignment readingOrder="0"/>
    </xf>
    <xf borderId="0" fillId="0" fontId="6" numFmtId="0" xfId="0" applyAlignment="1" applyFont="1">
      <alignment horizontal="center" readingOrder="0" shrinkToFit="0" wrapText="1"/>
    </xf>
    <xf borderId="13" fillId="0" fontId="6" numFmtId="0" xfId="0" applyAlignment="1" applyBorder="1" applyFont="1">
      <alignment horizontal="center" readingOrder="0" shrinkToFit="0" wrapText="1"/>
    </xf>
    <xf borderId="4" fillId="0" fontId="3" numFmtId="0" xfId="0" applyBorder="1" applyFont="1"/>
    <xf borderId="1" fillId="0" fontId="7" numFmtId="9" xfId="0" applyAlignment="1" applyBorder="1" applyFont="1" applyNumberFormat="1">
      <alignment horizontal="left" readingOrder="0" shrinkToFit="0" wrapText="1"/>
    </xf>
    <xf borderId="1" fillId="0" fontId="7" numFmtId="166" xfId="0" applyAlignment="1" applyBorder="1" applyFont="1" applyNumberFormat="1">
      <alignment horizontal="left" readingOrder="0" shrinkToFit="0" wrapText="1"/>
    </xf>
    <xf borderId="13" fillId="0" fontId="7" numFmtId="9" xfId="0" applyAlignment="1" applyBorder="1" applyFont="1" applyNumberFormat="1">
      <alignment horizontal="left" readingOrder="0" shrinkToFit="0" wrapText="1"/>
    </xf>
    <xf borderId="12" fillId="0" fontId="7" numFmtId="166" xfId="0" applyAlignment="1" applyBorder="1" applyFont="1" applyNumberFormat="1">
      <alignment horizontal="left" readingOrder="0" shrinkToFit="0" wrapText="1"/>
    </xf>
    <xf borderId="4" fillId="0" fontId="7" numFmtId="9" xfId="0" applyAlignment="1" applyBorder="1" applyFont="1" applyNumberFormat="1">
      <alignment horizontal="left" readingOrder="0" shrinkToFit="0" wrapText="1"/>
    </xf>
    <xf borderId="0" fillId="0" fontId="1" numFmtId="10" xfId="0" applyFont="1" applyNumberFormat="1"/>
    <xf borderId="2" fillId="6" fontId="1" numFmtId="0" xfId="0" applyAlignment="1" applyBorder="1" applyFont="1">
      <alignment readingOrder="0"/>
    </xf>
    <xf borderId="2" fillId="6" fontId="2" numFmtId="0" xfId="0" applyAlignment="1" applyBorder="1" applyFont="1">
      <alignment horizontal="center" readingOrder="0"/>
    </xf>
    <xf borderId="0" fillId="9" fontId="2" numFmtId="0" xfId="0" applyAlignment="1" applyFill="1" applyFont="1">
      <alignment readingOrder="0"/>
    </xf>
    <xf borderId="1" fillId="6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1" fillId="10" fontId="2" numFmtId="0" xfId="0" applyAlignment="1" applyBorder="1" applyFill="1" applyFont="1">
      <alignment horizontal="center" readingOrder="0"/>
    </xf>
    <xf borderId="1" fillId="10" fontId="1" numFmtId="0" xfId="0" applyAlignment="1" applyBorder="1" applyFont="1">
      <alignment horizontal="center" readingOrder="0"/>
    </xf>
    <xf borderId="1" fillId="10" fontId="1" numFmtId="167" xfId="0" applyAlignment="1" applyBorder="1" applyFont="1" applyNumberFormat="1">
      <alignment horizontal="center" readingOrder="0"/>
    </xf>
    <xf borderId="1" fillId="10" fontId="1" numFmtId="3" xfId="0" applyAlignment="1" applyBorder="1" applyFont="1" applyNumberFormat="1">
      <alignment horizontal="center" readingOrder="0"/>
    </xf>
    <xf borderId="1" fillId="0" fontId="1" numFmtId="3" xfId="0" applyAlignment="1" applyBorder="1" applyFont="1" applyNumberFormat="1">
      <alignment horizontal="center" readingOrder="0"/>
    </xf>
    <xf borderId="1" fillId="0" fontId="1" numFmtId="167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1" fillId="11" fontId="2" numFmtId="0" xfId="0" applyAlignment="1" applyBorder="1" applyFill="1" applyFont="1">
      <alignment horizontal="center" readingOrder="0"/>
    </xf>
    <xf borderId="1" fillId="11" fontId="1" numFmtId="0" xfId="0" applyAlignment="1" applyBorder="1" applyFont="1">
      <alignment horizontal="center" readingOrder="0"/>
    </xf>
    <xf borderId="1" fillId="11" fontId="1" numFmtId="167" xfId="0" applyAlignment="1" applyBorder="1" applyFont="1" applyNumberFormat="1">
      <alignment horizontal="center" readingOrder="0"/>
    </xf>
    <xf borderId="1" fillId="11" fontId="1" numFmtId="3" xfId="0" applyAlignment="1" applyBorder="1" applyFont="1" applyNumberFormat="1">
      <alignment horizontal="center" readingOrder="0"/>
    </xf>
    <xf borderId="1" fillId="9" fontId="1" numFmtId="0" xfId="0" applyAlignment="1" applyBorder="1" applyFont="1">
      <alignment horizontal="center" readingOrder="0"/>
    </xf>
    <xf borderId="1" fillId="9" fontId="1" numFmtId="3" xfId="0" applyAlignment="1" applyBorder="1" applyFont="1" applyNumberFormat="1">
      <alignment horizontal="center" readingOrder="0"/>
    </xf>
    <xf borderId="0" fillId="12" fontId="8" numFmtId="0" xfId="0" applyAlignment="1" applyFill="1" applyFont="1">
      <alignment horizontal="center" readingOrder="0"/>
    </xf>
    <xf borderId="14" fillId="13" fontId="5" numFmtId="0" xfId="0" applyAlignment="1" applyBorder="1" applyFill="1" applyFont="1">
      <alignment horizontal="center" readingOrder="0" vertical="bottom"/>
    </xf>
    <xf borderId="14" fillId="0" fontId="3" numFmtId="0" xfId="0" applyBorder="1" applyFont="1"/>
    <xf borderId="4" fillId="0" fontId="5" numFmtId="0" xfId="0" applyAlignment="1" applyBorder="1" applyFont="1">
      <alignment horizontal="center" readingOrder="0" vertical="bottom"/>
    </xf>
    <xf borderId="5" fillId="13" fontId="4" numFmtId="2" xfId="0" applyAlignment="1" applyBorder="1" applyFont="1" applyNumberFormat="1">
      <alignment horizontal="center" readingOrder="0" vertical="bottom"/>
    </xf>
    <xf borderId="1" fillId="3" fontId="2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 readingOrder="0"/>
    </xf>
    <xf borderId="1" fillId="3" fontId="1" numFmtId="167" xfId="0" applyAlignment="1" applyBorder="1" applyFont="1" applyNumberFormat="1">
      <alignment horizontal="center" readingOrder="0"/>
    </xf>
    <xf borderId="1" fillId="3" fontId="1" numFmtId="3" xfId="0" applyAlignment="1" applyBorder="1" applyFont="1" applyNumberFormat="1">
      <alignment horizontal="center" readingOrder="0"/>
    </xf>
    <xf borderId="4" fillId="0" fontId="1" numFmtId="0" xfId="0" applyAlignment="1" applyBorder="1" applyFont="1">
      <alignment horizontal="center" readingOrder="0"/>
    </xf>
    <xf borderId="5" fillId="13" fontId="1" numFmtId="0" xfId="0" applyAlignment="1" applyBorder="1" applyFont="1">
      <alignment horizontal="center" readingOrder="0"/>
    </xf>
    <xf borderId="1" fillId="3" fontId="1" numFmtId="165" xfId="0" applyAlignment="1" applyBorder="1" applyFont="1" applyNumberFormat="1">
      <alignment horizontal="center" readingOrder="0"/>
    </xf>
    <xf borderId="1" fillId="9" fontId="1" numFmtId="167" xfId="0" applyAlignment="1" applyBorder="1" applyFont="1" applyNumberFormat="1">
      <alignment horizontal="center" readingOrder="0"/>
    </xf>
    <xf borderId="15" fillId="13" fontId="5" numFmtId="0" xfId="0" applyAlignment="1" applyBorder="1" applyFont="1">
      <alignment horizontal="center" readingOrder="0" vertical="bottom"/>
    </xf>
    <xf borderId="15" fillId="0" fontId="3" numFmtId="0" xfId="0" applyBorder="1" applyFont="1"/>
    <xf borderId="15" fillId="0" fontId="5" numFmtId="0" xfId="0" applyAlignment="1" applyBorder="1" applyFont="1">
      <alignment horizontal="center" readingOrder="0" vertical="bottom"/>
    </xf>
    <xf borderId="0" fillId="13" fontId="1" numFmtId="0" xfId="0" applyAlignment="1" applyFont="1">
      <alignment horizontal="center"/>
    </xf>
    <xf borderId="0" fillId="0" fontId="5" numFmtId="0" xfId="0" applyAlignment="1" applyFont="1">
      <alignment horizontal="center" readingOrder="0" vertical="bottom"/>
    </xf>
    <xf borderId="0" fillId="14" fontId="2" numFmtId="0" xfId="0" applyAlignment="1" applyFill="1" applyFont="1">
      <alignment horizontal="center" readingOrder="0"/>
    </xf>
    <xf borderId="0" fillId="0" fontId="1" numFmtId="167" xfId="0" applyAlignment="1" applyFont="1" applyNumberFormat="1">
      <alignment horizontal="center" readingOrder="0"/>
    </xf>
    <xf borderId="1" fillId="6" fontId="1" numFmtId="0" xfId="0" applyAlignment="1" applyBorder="1" applyFont="1">
      <alignment horizontal="center" readingOrder="0"/>
    </xf>
    <xf borderId="1" fillId="0" fontId="4" numFmtId="3" xfId="0" applyAlignment="1" applyBorder="1" applyFont="1" applyNumberFormat="1">
      <alignment horizontal="center" readingOrder="0" vertical="bottom"/>
    </xf>
    <xf borderId="1" fillId="7" fontId="2" numFmtId="0" xfId="0" applyAlignment="1" applyBorder="1" applyFont="1">
      <alignment horizontal="center" readingOrder="0"/>
    </xf>
    <xf borderId="1" fillId="7" fontId="1" numFmtId="0" xfId="0" applyAlignment="1" applyBorder="1" applyFont="1">
      <alignment horizontal="center" readingOrder="0"/>
    </xf>
    <xf borderId="1" fillId="7" fontId="1" numFmtId="167" xfId="0" applyAlignment="1" applyBorder="1" applyFont="1" applyNumberFormat="1">
      <alignment horizontal="center" readingOrder="0"/>
    </xf>
    <xf borderId="1" fillId="7" fontId="1" numFmtId="3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/>
    </xf>
    <xf borderId="0" fillId="12" fontId="8" numFmtId="0" xfId="0" applyAlignment="1" applyFont="1">
      <alignment horizontal="left" readingOrder="0"/>
    </xf>
    <xf borderId="1" fillId="0" fontId="1" numFmtId="3" xfId="0" applyAlignment="1" applyBorder="1" applyFont="1" applyNumberFormat="1">
      <alignment horizontal="center"/>
    </xf>
    <xf borderId="4" fillId="7" fontId="5" numFmtId="0" xfId="0" applyAlignment="1" applyBorder="1" applyFont="1">
      <alignment horizontal="center" readingOrder="0" vertical="bottom"/>
    </xf>
    <xf borderId="5" fillId="7" fontId="4" numFmtId="0" xfId="0" applyAlignment="1" applyBorder="1" applyFont="1">
      <alignment horizontal="center" readingOrder="0" vertical="bottom"/>
    </xf>
    <xf borderId="5" fillId="7" fontId="4" numFmtId="167" xfId="0" applyAlignment="1" applyBorder="1" applyFont="1" applyNumberFormat="1">
      <alignment horizontal="center" vertical="bottom"/>
    </xf>
    <xf borderId="1" fillId="15" fontId="1" numFmtId="0" xfId="0" applyAlignment="1" applyBorder="1" applyFill="1" applyFont="1">
      <alignment horizontal="center" readingOrder="0"/>
    </xf>
    <xf borderId="1" fillId="15" fontId="1" numFmtId="167" xfId="0" applyAlignment="1" applyBorder="1" applyFont="1" applyNumberFormat="1">
      <alignment horizontal="center" readingOrder="0"/>
    </xf>
    <xf borderId="5" fillId="8" fontId="4" numFmtId="0" xfId="0" applyAlignment="1" applyBorder="1" applyFont="1">
      <alignment horizontal="center" readingOrder="0" vertical="bottom"/>
    </xf>
    <xf borderId="5" fillId="8" fontId="4" numFmtId="167" xfId="0" applyAlignment="1" applyBorder="1" applyFont="1" applyNumberFormat="1">
      <alignment horizontal="center" vertical="bottom"/>
    </xf>
    <xf borderId="1" fillId="8" fontId="1" numFmtId="3" xfId="0" applyAlignment="1" applyBorder="1" applyFont="1" applyNumberFormat="1">
      <alignment horizontal="center" readingOrder="0"/>
    </xf>
    <xf borderId="1" fillId="8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4" fillId="6" fontId="5" numFmtId="0" xfId="0" applyAlignment="1" applyBorder="1" applyFont="1">
      <alignment horizontal="center" readingOrder="0" vertical="bottom"/>
    </xf>
    <xf borderId="5" fillId="15" fontId="4" numFmtId="0" xfId="0" applyAlignment="1" applyBorder="1" applyFont="1">
      <alignment horizontal="center" readingOrder="0" vertical="bottom"/>
    </xf>
    <xf borderId="1" fillId="15" fontId="1" numFmtId="3" xfId="0" applyAlignment="1" applyBorder="1" applyFont="1" applyNumberFormat="1">
      <alignment horizontal="center" readingOrder="0"/>
    </xf>
    <xf borderId="4" fillId="4" fontId="5" numFmtId="0" xfId="0" applyAlignment="1" applyBorder="1" applyFont="1">
      <alignment horizontal="center" readingOrder="0" vertical="bottom"/>
    </xf>
    <xf borderId="5" fillId="4" fontId="4" numFmtId="0" xfId="0" applyAlignment="1" applyBorder="1" applyFont="1">
      <alignment horizontal="center" readingOrder="0" vertical="bottom"/>
    </xf>
    <xf borderId="5" fillId="4" fontId="4" numFmtId="167" xfId="0" applyAlignment="1" applyBorder="1" applyFont="1" applyNumberFormat="1">
      <alignment horizontal="center" readingOrder="0" vertical="bottom"/>
    </xf>
    <xf borderId="1" fillId="4" fontId="1" numFmtId="3" xfId="0" applyAlignment="1" applyBorder="1" applyFont="1" applyNumberFormat="1">
      <alignment horizontal="center" readingOrder="0"/>
    </xf>
    <xf borderId="1" fillId="4" fontId="1" numFmtId="0" xfId="0" applyAlignment="1" applyBorder="1" applyFont="1">
      <alignment horizontal="center" readingOrder="0"/>
    </xf>
    <xf borderId="5" fillId="14" fontId="4" numFmtId="0" xfId="0" applyAlignment="1" applyBorder="1" applyFont="1">
      <alignment horizontal="center" readingOrder="0" vertical="bottom"/>
    </xf>
    <xf borderId="1" fillId="14" fontId="1" numFmtId="3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 readingOrder="0" vertical="bottom"/>
    </xf>
    <xf borderId="1" fillId="0" fontId="1" numFmtId="3" xfId="0" applyBorder="1" applyFont="1" applyNumberFormat="1"/>
    <xf borderId="0" fillId="0" fontId="1" numFmtId="3" xfId="0" applyFont="1" applyNumberFormat="1"/>
    <xf borderId="3" fillId="6" fontId="1" numFmtId="0" xfId="0" applyAlignment="1" applyBorder="1" applyFont="1">
      <alignment readingOrder="0"/>
    </xf>
    <xf borderId="1" fillId="0" fontId="1" numFmtId="166" xfId="0" applyAlignment="1" applyBorder="1" applyFont="1" applyNumberFormat="1">
      <alignment readingOrder="0"/>
    </xf>
    <xf borderId="1" fillId="0" fontId="1" numFmtId="3" xfId="0" applyAlignment="1" applyBorder="1" applyFont="1" applyNumberFormat="1">
      <alignment readingOrder="0"/>
    </xf>
    <xf borderId="13" fillId="0" fontId="1" numFmtId="0" xfId="0" applyAlignment="1" applyBorder="1" applyFont="1">
      <alignment readingOrder="0"/>
    </xf>
    <xf borderId="14" fillId="0" fontId="1" numFmtId="49" xfId="0" applyAlignment="1" applyBorder="1" applyFont="1" applyNumberFormat="1">
      <alignment readingOrder="0"/>
    </xf>
    <xf borderId="4" fillId="0" fontId="1" numFmtId="0" xfId="0" applyAlignment="1" applyBorder="1" applyFont="1">
      <alignment readingOrder="0"/>
    </xf>
    <xf borderId="0" fillId="0" fontId="1" numFmtId="49" xfId="0" applyAlignment="1" applyFont="1" applyNumberFormat="1">
      <alignment readingOrder="0"/>
    </xf>
    <xf borderId="1" fillId="0" fontId="1" numFmtId="1" xfId="0" applyAlignment="1" applyBorder="1" applyFont="1" applyNumberFormat="1">
      <alignment readingOrder="0"/>
    </xf>
    <xf borderId="1" fillId="2" fontId="2" numFmtId="0" xfId="0" applyAlignment="1" applyBorder="1" applyFont="1">
      <alignment readingOrder="0"/>
    </xf>
    <xf borderId="1" fillId="0" fontId="1" numFmtId="10" xfId="0" applyBorder="1" applyFont="1" applyNumberFormat="1"/>
    <xf borderId="1" fillId="4" fontId="1" numFmtId="0" xfId="0" applyAlignment="1" applyBorder="1" applyFont="1">
      <alignment readingOrder="0"/>
    </xf>
    <xf borderId="13" fillId="0" fontId="2" numFmtId="0" xfId="0" applyAlignment="1" applyBorder="1" applyFont="1">
      <alignment horizontal="center" readingOrder="0"/>
    </xf>
    <xf borderId="1" fillId="2" fontId="1" numFmtId="0" xfId="0" applyAlignment="1" applyBorder="1" applyFont="1">
      <alignment readingOrder="0"/>
    </xf>
    <xf borderId="1" fillId="16" fontId="1" numFmtId="0" xfId="0" applyAlignment="1" applyBorder="1" applyFill="1" applyFont="1">
      <alignment readingOrder="0"/>
    </xf>
    <xf borderId="1" fillId="17" fontId="1" numFmtId="0" xfId="0" applyAlignment="1" applyBorder="1" applyFill="1" applyFont="1">
      <alignment readingOrder="0"/>
    </xf>
    <xf borderId="1" fillId="18" fontId="1" numFmtId="0" xfId="0" applyAlignment="1" applyBorder="1" applyFill="1" applyFont="1">
      <alignment readingOrder="0"/>
    </xf>
    <xf borderId="1" fillId="19" fontId="1" numFmtId="0" xfId="0" applyAlignment="1" applyBorder="1" applyFill="1" applyFont="1">
      <alignment readingOrder="0"/>
    </xf>
    <xf borderId="1" fillId="0" fontId="7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readingOrder="0" shrinkToFit="0" wrapText="1"/>
    </xf>
    <xf borderId="1" fillId="2" fontId="1" numFmtId="0" xfId="0" applyAlignment="1" applyBorder="1" applyFont="1">
      <alignment horizontal="left" readingOrder="0" shrinkToFit="0" vertical="top" wrapText="1"/>
    </xf>
    <xf borderId="1" fillId="2" fontId="7" numFmtId="0" xfId="0" applyAlignment="1" applyBorder="1" applyFont="1">
      <alignment horizontal="left" readingOrder="0" shrinkToFit="0" wrapText="1"/>
    </xf>
    <xf borderId="1" fillId="9" fontId="1" numFmtId="0" xfId="0" applyAlignment="1" applyBorder="1" applyFont="1">
      <alignment horizontal="left" readingOrder="0" shrinkToFit="0" vertical="top" wrapText="1"/>
    </xf>
    <xf borderId="1" fillId="4" fontId="1" numFmtId="0" xfId="0" applyAlignment="1" applyBorder="1" applyFont="1">
      <alignment horizontal="left" readingOrder="0" shrinkToFit="0" vertical="top" wrapText="1"/>
    </xf>
    <xf borderId="1" fillId="4" fontId="7" numFmtId="0" xfId="0" applyAlignment="1" applyBorder="1" applyFont="1">
      <alignment horizontal="left" readingOrder="0" shrinkToFit="0" wrapText="1"/>
    </xf>
    <xf borderId="1" fillId="17" fontId="1" numFmtId="0" xfId="0" applyAlignment="1" applyBorder="1" applyFont="1">
      <alignment horizontal="left" shrinkToFit="0" vertical="top" wrapText="1"/>
    </xf>
    <xf borderId="1" fillId="9" fontId="7" numFmtId="0" xfId="0" applyAlignment="1" applyBorder="1" applyFont="1">
      <alignment horizontal="left" readingOrder="0" shrinkToFit="0" wrapText="1"/>
    </xf>
    <xf borderId="1" fillId="9" fontId="1" numFmtId="0" xfId="0" applyAlignment="1" applyBorder="1" applyFont="1">
      <alignment horizontal="left" shrinkToFit="0" vertical="top" wrapText="1"/>
    </xf>
    <xf borderId="1" fillId="3" fontId="1" numFmtId="49" xfId="0" applyAlignment="1" applyBorder="1" applyFont="1" applyNumberFormat="1">
      <alignment readingOrder="0"/>
    </xf>
    <xf borderId="1" fillId="3" fontId="2" numFmtId="49" xfId="0" applyAlignment="1" applyBorder="1" applyFont="1" applyNumberFormat="1">
      <alignment readingOrder="0"/>
    </xf>
    <xf borderId="1" fillId="2" fontId="1" numFmtId="49" xfId="0" applyAlignment="1" applyBorder="1" applyFont="1" applyNumberFormat="1">
      <alignment readingOrder="0"/>
    </xf>
    <xf borderId="0" fillId="2" fontId="2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1" numFmtId="49" xfId="0" applyAlignment="1" applyBorder="1" applyFont="1" applyNumberFormat="1">
      <alignment readingOrder="0"/>
    </xf>
    <xf borderId="0" fillId="11" fontId="2" numFmtId="49" xfId="0" applyAlignment="1" applyFont="1" applyNumberFormat="1">
      <alignment readingOrder="0"/>
    </xf>
    <xf borderId="1" fillId="20" fontId="1" numFmtId="10" xfId="0" applyBorder="1" applyFill="1" applyFont="1" applyNumberFormat="1"/>
    <xf borderId="1" fillId="20" fontId="1" numFmtId="0" xfId="0" applyAlignment="1" applyBorder="1" applyFont="1">
      <alignment readingOrder="0"/>
    </xf>
    <xf borderId="1" fillId="15" fontId="1" numFmtId="10" xfId="0" applyBorder="1" applyFont="1" applyNumberFormat="1"/>
    <xf borderId="1" fillId="15" fontId="1" numFmtId="0" xfId="0" applyAlignment="1" applyBorder="1" applyFont="1">
      <alignment readingOrder="0"/>
    </xf>
    <xf borderId="1" fillId="21" fontId="1" numFmtId="10" xfId="0" applyBorder="1" applyFill="1" applyFont="1" applyNumberFormat="1"/>
    <xf borderId="1" fillId="21" fontId="1" numFmtId="0" xfId="0" applyAlignment="1" applyBorder="1" applyFont="1">
      <alignment readingOrder="0"/>
    </xf>
    <xf borderId="1" fillId="15" fontId="1" numFmtId="49" xfId="0" applyAlignment="1" applyBorder="1" applyFont="1" applyNumberFormat="1">
      <alignment readingOrder="0"/>
    </xf>
    <xf borderId="0" fillId="15" fontId="2" numFmtId="49" xfId="0" applyAlignment="1" applyFont="1" applyNumberFormat="1">
      <alignment readingOrder="0"/>
    </xf>
    <xf borderId="1" fillId="16" fontId="1" numFmtId="10" xfId="0" applyBorder="1" applyFont="1" applyNumberFormat="1"/>
    <xf borderId="1" fillId="19" fontId="1" numFmtId="49" xfId="0" applyAlignment="1" applyBorder="1" applyFont="1" applyNumberFormat="1">
      <alignment readingOrder="0"/>
    </xf>
    <xf borderId="0" fillId="19" fontId="2" numFmtId="49" xfId="0" applyAlignment="1" applyFont="1" applyNumberFormat="1">
      <alignment readingOrder="0"/>
    </xf>
    <xf borderId="1" fillId="14" fontId="1" numFmtId="49" xfId="0" applyAlignment="1" applyBorder="1" applyFont="1" applyNumberFormat="1">
      <alignment readingOrder="0"/>
    </xf>
    <xf borderId="1" fillId="14" fontId="2" numFmtId="49" xfId="0" applyAlignment="1" applyBorder="1" applyFont="1" applyNumberFormat="1">
      <alignment readingOrder="0"/>
    </xf>
    <xf borderId="1" fillId="18" fontId="1" numFmtId="49" xfId="0" applyAlignment="1" applyBorder="1" applyFont="1" applyNumberFormat="1">
      <alignment readingOrder="0"/>
    </xf>
    <xf borderId="1" fillId="22" fontId="1" numFmtId="0" xfId="0" applyAlignment="1" applyBorder="1" applyFill="1" applyFont="1">
      <alignment readingOrder="0"/>
    </xf>
    <xf borderId="1" fillId="15" fontId="2" numFmtId="49" xfId="0" applyAlignment="1" applyBorder="1" applyFont="1" applyNumberFormat="1">
      <alignment readingOrder="0"/>
    </xf>
    <xf borderId="0" fillId="19" fontId="1" numFmtId="49" xfId="0" applyAlignment="1" applyFont="1" applyNumberFormat="1">
      <alignment readingOrder="0"/>
    </xf>
    <xf borderId="13" fillId="22" fontId="1" numFmtId="0" xfId="0" applyAlignment="1" applyBorder="1" applyFont="1">
      <alignment readingOrder="0"/>
    </xf>
    <xf borderId="1" fillId="14" fontId="1" numFmtId="0" xfId="0" applyAlignment="1" applyBorder="1" applyFont="1">
      <alignment readingOrder="0"/>
    </xf>
    <xf borderId="16" fillId="0" fontId="1" numFmtId="0" xfId="0" applyAlignment="1" applyBorder="1" applyFont="1">
      <alignment readingOrder="0"/>
    </xf>
    <xf borderId="0" fillId="23" fontId="2" numFmtId="0" xfId="0" applyAlignment="1" applyFill="1" applyFont="1">
      <alignment horizontal="center" readingOrder="0"/>
    </xf>
    <xf borderId="5" fillId="22" fontId="1" numFmtId="0" xfId="0" applyAlignment="1" applyBorder="1" applyFont="1">
      <alignment readingOrder="0"/>
    </xf>
    <xf borderId="3" fillId="22" fontId="1" numFmtId="0" xfId="0" applyAlignment="1" applyBorder="1" applyFon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57BB8A"/>
          <bgColor rgb="FF57BB8A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Roboto"/>
              </a:defRPr>
            </a:pPr>
            <a:r>
              <a:rPr b="1">
                <a:solidFill>
                  <a:srgbClr val="757575"/>
                </a:solidFill>
                <a:latin typeface="Roboto"/>
              </a:rPr>
              <a:t> PRODUCCIÓN DE QUINTALES DE MAÍZ POR MANZANA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'PARTE II'!$L$1:$L$2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FF0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F00FF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87BC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53D2E4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FFD452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'PARTE II'!$K$3:$K$9</c:f>
            </c:strRef>
          </c:cat>
          <c:val>
            <c:numRef>
              <c:f>'PARTE II'!$L$3:$L$9</c:f>
              <c:numCache/>
            </c:numRef>
          </c:val>
        </c:ser>
        <c:axId val="2132036988"/>
        <c:axId val="1425279493"/>
      </c:bar3DChart>
      <c:catAx>
        <c:axId val="213203698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5279493"/>
      </c:catAx>
      <c:valAx>
        <c:axId val="142527949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PRODUC. X MANZ.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203698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COMPARACIÓN DE LA DISMINUCIÓN DEL USO DE PLAGUICIDAS AL USAR BIOFERTILIZANTES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0000F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'PARTE II'!$L$35:$M$35</c:f>
            </c:strRef>
          </c:cat>
          <c:val>
            <c:numRef>
              <c:f>'PARTE II'!$L$36:$M$36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DISMINUCIÓN DEL USO DE PLAGUICIDAS POR TIPO DE CULTIVO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'PARTE II'!$K$20:$K$22</c:f>
            </c:strRef>
          </c:cat>
          <c:val>
            <c:numRef>
              <c:f>'PARTE II'!$L$20:$L$22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DISTRIBUCIÓN DE LOS CULTIVOS ENTRE LOS ENCUESTADOS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'PARTE II'!$J$38</c:f>
            </c:strRef>
          </c:tx>
          <c:dPt>
            <c:idx val="0"/>
            <c:spPr>
              <a:solidFill>
                <a:schemeClr val="accent3"/>
              </a:solidFill>
            </c:spPr>
          </c:dPt>
          <c:dPt>
            <c:idx val="1"/>
            <c:spPr>
              <a:solidFill>
                <a:schemeClr val="accent6"/>
              </a:solidFill>
            </c:spPr>
          </c:dPt>
          <c:dPt>
            <c:idx val="2"/>
            <c:spPr>
              <a:solidFill>
                <a:srgbClr val="C0F7A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'PARTE II'!$K$39:$K$41</c:f>
            </c:strRef>
          </c:cat>
          <c:val>
            <c:numRef>
              <c:f>'PARTE II'!$J$39:$J$41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PROMEDIO DE APLICACIÓN DE PLAGUICIDAS POR TIPO DE BIOFERTILIZANTE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'PARTE II'!$Q$21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FF00"/>
              </a:solidFill>
              <a:ln cmpd="sng">
                <a:solidFill>
                  <a:srgbClr val="00FF00"/>
                </a:solidFill>
              </a:ln>
            </c:spPr>
          </c:marker>
          <c:xVal>
            <c:numRef>
              <c:f>'PARTE II'!$P$22:$P$28</c:f>
            </c:numRef>
          </c:xVal>
          <c:yVal>
            <c:numRef>
              <c:f>'PARTE II'!$Q$22:$Q$28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897301"/>
        <c:axId val="557614932"/>
      </c:scatterChart>
      <c:valAx>
        <c:axId val="42289730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TIPO DE BIOFERTILIZANTE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7614932"/>
      </c:valAx>
      <c:valAx>
        <c:axId val="5576149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PROMEDIO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28973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757575"/>
                </a:solidFill>
                <a:latin typeface="sans-serif"/>
              </a:defRPr>
            </a:pPr>
            <a:r>
              <a:rPr b="1" sz="1800">
                <a:solidFill>
                  <a:srgbClr val="757575"/>
                </a:solidFill>
                <a:latin typeface="sans-serif"/>
              </a:rPr>
              <a:t>NIVEL DE RENDIMIENTO DEL BIOFERTILIZANTE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stacked"/>
        <c:ser>
          <c:idx val="0"/>
          <c:order val="0"/>
          <c:tx>
            <c:strRef>
              <c:f>'PARTE III'!$K$36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'PARTE III'!$J$37:$J$43</c:f>
            </c:strRef>
          </c:cat>
          <c:val>
            <c:numRef>
              <c:f>'PARTE III'!$K$37:$K$43</c:f>
              <c:numCache/>
            </c:numRef>
          </c:val>
        </c:ser>
        <c:ser>
          <c:idx val="1"/>
          <c:order val="1"/>
          <c:tx>
            <c:strRef>
              <c:f>'PARTE III'!$L$36</c:f>
            </c:strRef>
          </c:tx>
          <c:spPr>
            <a:solidFill>
              <a:srgbClr val="56C3D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'PARTE III'!$J$37:$J$43</c:f>
            </c:strRef>
          </c:cat>
          <c:val>
            <c:numRef>
              <c:f>'PARTE III'!$L$37:$L$43</c:f>
              <c:numCache/>
            </c:numRef>
          </c:val>
        </c:ser>
        <c:ser>
          <c:idx val="2"/>
          <c:order val="2"/>
          <c:tx>
            <c:strRef>
              <c:f>'PARTE III'!$M$36</c:f>
            </c:strRef>
          </c:tx>
          <c:spPr>
            <a:solidFill>
              <a:srgbClr val="FFD45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'PARTE III'!$J$37:$J$43</c:f>
            </c:strRef>
          </c:cat>
          <c:val>
            <c:numRef>
              <c:f>'PARTE III'!$M$37:$M$43</c:f>
              <c:numCache/>
            </c:numRef>
          </c:val>
        </c:ser>
        <c:ser>
          <c:idx val="3"/>
          <c:order val="3"/>
          <c:tx>
            <c:strRef>
              <c:f>'PARTE III'!$N$36</c:f>
            </c:strRef>
          </c:tx>
          <c:spPr>
            <a:solidFill>
              <a:srgbClr val="57BB8A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'PARTE III'!$J$37:$J$43</c:f>
            </c:strRef>
          </c:cat>
          <c:val>
            <c:numRef>
              <c:f>'PARTE III'!$N$37:$N$43</c:f>
              <c:numCache/>
            </c:numRef>
          </c:val>
        </c:ser>
        <c:axId val="319020462"/>
        <c:axId val="1580311172"/>
      </c:bar3DChart>
      <c:catAx>
        <c:axId val="3190204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TIPO DE BIOFERTILIZANTE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580311172"/>
      </c:catAx>
      <c:valAx>
        <c:axId val="15803111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ENCUESTADOS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3190204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EFEFE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NIVEL DE DESAROLLO Y SATISFACCIÓN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'PARTE III'!$M$26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B59CFF"/>
              </a:solidFill>
              <a:ln cmpd="sng">
                <a:solidFill>
                  <a:srgbClr val="B59CFF"/>
                </a:solidFill>
              </a:ln>
            </c:spPr>
          </c:marker>
          <c:xVal>
            <c:numRef>
              <c:f>'PARTE III'!$N$25:$O$25</c:f>
            </c:numRef>
          </c:xVal>
          <c:yVal>
            <c:numRef>
              <c:f>'PARTE III'!$N$26:$O$26</c:f>
              <c:numCache/>
            </c:numRef>
          </c:yVal>
        </c:ser>
        <c:ser>
          <c:idx val="1"/>
          <c:order val="1"/>
          <c:tx>
            <c:strRef>
              <c:f>'PARTE III'!$M$27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53D2E4"/>
              </a:solidFill>
              <a:ln cmpd="sng">
                <a:solidFill>
                  <a:srgbClr val="53D2E4"/>
                </a:solidFill>
              </a:ln>
            </c:spPr>
          </c:marker>
          <c:xVal>
            <c:numRef>
              <c:f>'PARTE III'!$N$25:$O$25</c:f>
            </c:numRef>
          </c:xVal>
          <c:yVal>
            <c:numRef>
              <c:f>'PARTE III'!$N$27:$O$27</c:f>
              <c:numCache/>
            </c:numRef>
          </c:yVal>
        </c:ser>
        <c:ser>
          <c:idx val="2"/>
          <c:order val="2"/>
          <c:tx>
            <c:strRef>
              <c:f>'PARTE III'!$M$28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'PARTE III'!$N$25:$O$25</c:f>
            </c:numRef>
          </c:xVal>
          <c:yVal>
            <c:numRef>
              <c:f>'PARTE III'!$N$28:$O$28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3848214"/>
        <c:axId val="263167622"/>
      </c:scatterChart>
      <c:valAx>
        <c:axId val="167384821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NIVEL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3167622"/>
      </c:valAx>
      <c:valAx>
        <c:axId val="2631676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PORCENTAJE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38482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NIVEL DE DESAROLLO POR TIPO DE CULTIVO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'PARTE III'!$K$46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'PARTE III'!$J$47:$J$49</c:f>
            </c:strRef>
          </c:cat>
          <c:val>
            <c:numRef>
              <c:f>'PARTE III'!$K$47:$K$49</c:f>
              <c:numCache/>
            </c:numRef>
          </c:val>
        </c:ser>
        <c:ser>
          <c:idx val="1"/>
          <c:order val="1"/>
          <c:tx>
            <c:strRef>
              <c:f>'PARTE III'!$L$46</c:f>
            </c:strRef>
          </c:tx>
          <c:spPr>
            <a:solidFill>
              <a:srgbClr val="FFD45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'PARTE III'!$J$47:$J$49</c:f>
            </c:strRef>
          </c:cat>
          <c:val>
            <c:numRef>
              <c:f>'PARTE III'!$L$47:$L$49</c:f>
              <c:numCache/>
            </c:numRef>
          </c:val>
        </c:ser>
        <c:ser>
          <c:idx val="2"/>
          <c:order val="2"/>
          <c:tx>
            <c:strRef>
              <c:f>'PARTE III'!$M$46</c:f>
            </c:strRef>
          </c:tx>
          <c:spPr>
            <a:solidFill>
              <a:srgbClr val="41D89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'PARTE III'!$J$47:$J$49</c:f>
            </c:strRef>
          </c:cat>
          <c:val>
            <c:numRef>
              <c:f>'PARTE III'!$M$47:$M$49</c:f>
              <c:numCache/>
            </c:numRef>
          </c:val>
        </c:ser>
        <c:axId val="1392655045"/>
        <c:axId val="273937299"/>
      </c:bar3DChart>
      <c:catAx>
        <c:axId val="13926550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TIPO DE CULTIVO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3937299"/>
      </c:catAx>
      <c:valAx>
        <c:axId val="2739372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ENCUESTADOS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26550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NIVEL DE SATISFACCIÓN POR TIPO DE CULTIVO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'PARTE III'!$K$52</c:f>
            </c:strRef>
          </c:tx>
          <c:spPr>
            <a:solidFill>
              <a:srgbClr val="53D2E4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'PARTE III'!$J$53:$J$55</c:f>
            </c:strRef>
          </c:cat>
          <c:val>
            <c:numRef>
              <c:f>'PARTE III'!$K$53:$K$55</c:f>
              <c:numCache/>
            </c:numRef>
          </c:val>
        </c:ser>
        <c:ser>
          <c:idx val="1"/>
          <c:order val="1"/>
          <c:tx>
            <c:strRef>
              <c:f>'PARTE III'!$L$52</c:f>
            </c:strRef>
          </c:tx>
          <c:spPr>
            <a:solidFill>
              <a:srgbClr val="B59CFF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'PARTE III'!$J$53:$J$55</c:f>
            </c:strRef>
          </c:cat>
          <c:val>
            <c:numRef>
              <c:f>'PARTE III'!$L$53:$L$55</c:f>
              <c:numCache/>
            </c:numRef>
          </c:val>
        </c:ser>
        <c:ser>
          <c:idx val="2"/>
          <c:order val="2"/>
          <c:tx>
            <c:strRef>
              <c:f>'PARTE III'!$M$52</c:f>
            </c:strRef>
          </c:tx>
          <c:spPr>
            <a:solidFill>
              <a:srgbClr val="FF87B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'PARTE III'!$J$53:$J$55</c:f>
            </c:strRef>
          </c:cat>
          <c:val>
            <c:numRef>
              <c:f>'PARTE III'!$M$53:$M$55</c:f>
              <c:numCache/>
            </c:numRef>
          </c:val>
        </c:ser>
        <c:axId val="1996069982"/>
        <c:axId val="596385645"/>
      </c:bar3DChart>
      <c:catAx>
        <c:axId val="19960699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TIPO DE CULTIVO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6385645"/>
      </c:catAx>
      <c:valAx>
        <c:axId val="5963856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ENCUESTADOS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60699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POTENCIAL DEL BIOFERTILIZANTE POR TIPO DE CULTIVO 		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'PARTE III'!$K$57:$K$58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'PARTE III'!$J$59:$J$61</c:f>
            </c:strRef>
          </c:cat>
          <c:val>
            <c:numRef>
              <c:f>'PARTE III'!$K$59:$K$61</c:f>
              <c:numCache/>
            </c:numRef>
          </c:val>
        </c:ser>
        <c:ser>
          <c:idx val="1"/>
          <c:order val="1"/>
          <c:tx>
            <c:strRef>
              <c:f>'PARTE III'!$L$57:$L$58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'PARTE III'!$J$59:$J$61</c:f>
            </c:strRef>
          </c:cat>
          <c:val>
            <c:numRef>
              <c:f>'PARTE III'!$L$59:$L$61</c:f>
              <c:numCache/>
            </c:numRef>
          </c:val>
        </c:ser>
        <c:ser>
          <c:idx val="2"/>
          <c:order val="2"/>
          <c:tx>
            <c:strRef>
              <c:f>'PARTE III'!$M$57:$M$58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'PARTE III'!$J$59:$J$61</c:f>
            </c:strRef>
          </c:cat>
          <c:val>
            <c:numRef>
              <c:f>'PARTE III'!$M$59:$M$61</c:f>
              <c:numCache/>
            </c:numRef>
          </c:val>
        </c:ser>
        <c:ser>
          <c:idx val="3"/>
          <c:order val="3"/>
          <c:tx>
            <c:strRef>
              <c:f>'PARTE III'!$N$57:$N$58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'PARTE III'!$J$59:$J$61</c:f>
            </c:strRef>
          </c:cat>
          <c:val>
            <c:numRef>
              <c:f>'PARTE III'!$N$59:$N$61</c:f>
              <c:numCache/>
            </c:numRef>
          </c:val>
        </c:ser>
        <c:axId val="1251326111"/>
        <c:axId val="584725836"/>
      </c:bar3DChart>
      <c:catAx>
        <c:axId val="125132611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TIPO DE CULTIVO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4725836"/>
      </c:catAx>
      <c:valAx>
        <c:axId val="58472583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ENCUESTADOS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1326111"/>
        <c:crosses val="max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NIVEL DE SATISFACCIÓN POR BIOFERTILIZANTE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stacked"/>
        <c:ser>
          <c:idx val="0"/>
          <c:order val="0"/>
          <c:tx>
            <c:v>BAJO</c:v>
          </c:tx>
          <c:spPr>
            <a:solidFill>
              <a:srgbClr val="56C3D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'PARTE III'!$J$63:$J$72</c:f>
            </c:strRef>
          </c:cat>
          <c:val>
            <c:numRef>
              <c:f>'PARTE III'!$K$63:$K$72</c:f>
              <c:numCache/>
            </c:numRef>
          </c:val>
        </c:ser>
        <c:ser>
          <c:idx val="1"/>
          <c:order val="1"/>
          <c:tx>
            <c:v>MEDIO</c:v>
          </c:tx>
          <c:spPr>
            <a:solidFill>
              <a:srgbClr val="F2F217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'PARTE III'!$J$63:$J$72</c:f>
            </c:strRef>
          </c:cat>
          <c:val>
            <c:numRef>
              <c:f>'PARTE III'!$L$63:$L$72</c:f>
              <c:numCache/>
            </c:numRef>
          </c:val>
        </c:ser>
        <c:ser>
          <c:idx val="2"/>
          <c:order val="2"/>
          <c:tx>
            <c:v>ALTO</c:v>
          </c:tx>
          <c:spPr>
            <a:solidFill>
              <a:srgbClr val="C0F7A8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'PARTE III'!$J$63:$J$72</c:f>
            </c:strRef>
          </c:cat>
          <c:val>
            <c:numRef>
              <c:f>'PARTE III'!$M$63:$M$72</c:f>
              <c:numCache/>
            </c:numRef>
          </c:val>
        </c:ser>
        <c:axId val="590336767"/>
        <c:axId val="969134904"/>
      </c:bar3DChart>
      <c:catAx>
        <c:axId val="59033676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BIOFERTILIZANTE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9134904"/>
      </c:catAx>
      <c:valAx>
        <c:axId val="96913490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ENCUESTADOS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033676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NIVEL DE DESAROLLO POR BIOFERTILIZANTE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stacked"/>
        <c:ser>
          <c:idx val="0"/>
          <c:order val="0"/>
          <c:tx>
            <c:v>BAJO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'PARTE III'!$J$75:$J$82</c:f>
            </c:strRef>
          </c:cat>
          <c:val>
            <c:numRef>
              <c:f>'PARTE III'!$K$75:$K$82</c:f>
              <c:numCache/>
            </c:numRef>
          </c:val>
        </c:ser>
        <c:ser>
          <c:idx val="1"/>
          <c:order val="1"/>
          <c:tx>
            <c:v>MEDIO</c:v>
          </c:tx>
          <c:spPr>
            <a:solidFill>
              <a:srgbClr val="FFD452"/>
            </a:solidFill>
            <a:ln cmpd="sng">
              <a:solidFill>
                <a:srgbClr val="000000"/>
              </a:solidFill>
            </a:ln>
          </c:spPr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'PARTE III'!$J$75:$J$82</c:f>
            </c:strRef>
          </c:cat>
          <c:val>
            <c:numRef>
              <c:f>'PARTE III'!$L$75:$L$82</c:f>
              <c:numCache/>
            </c:numRef>
          </c:val>
        </c:ser>
        <c:ser>
          <c:idx val="2"/>
          <c:order val="2"/>
          <c:tx>
            <c:v>ALTO</c:v>
          </c:tx>
          <c:spPr>
            <a:solidFill>
              <a:srgbClr val="41D89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'PARTE III'!$J$75:$J$82</c:f>
            </c:strRef>
          </c:cat>
          <c:val>
            <c:numRef>
              <c:f>'PARTE III'!$M$75:$M$82</c:f>
              <c:numCache/>
            </c:numRef>
          </c:val>
        </c:ser>
        <c:axId val="355709883"/>
        <c:axId val="536793764"/>
      </c:bar3DChart>
      <c:catAx>
        <c:axId val="35570988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BIOFERTILIZANTE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6793764"/>
      </c:catAx>
      <c:valAx>
        <c:axId val="53679376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ENCUESTADOS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570988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Relationship Id="rId6" Type="http://schemas.openxmlformats.org/officeDocument/2006/relationships/chart" Target="../charts/chart11.xml"/><Relationship Id="rId7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590550</xdr:colOff>
      <xdr:row>0</xdr:row>
      <xdr:rowOff>104775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523875</xdr:colOff>
      <xdr:row>29</xdr:row>
      <xdr:rowOff>76200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1343025</xdr:colOff>
      <xdr:row>48</xdr:row>
      <xdr:rowOff>28575</xdr:rowOff>
    </xdr:from>
    <xdr:ext cx="5314950" cy="328612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238125</xdr:colOff>
      <xdr:row>47</xdr:row>
      <xdr:rowOff>161925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15</xdr:col>
      <xdr:colOff>619125</xdr:colOff>
      <xdr:row>32</xdr:row>
      <xdr:rowOff>19050</xdr:rowOff>
    </xdr:from>
    <xdr:ext cx="6038850" cy="37242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647700</xdr:colOff>
      <xdr:row>36</xdr:row>
      <xdr:rowOff>47625</xdr:rowOff>
    </xdr:from>
    <xdr:ext cx="6162675" cy="3810000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495300</xdr:colOff>
      <xdr:row>20</xdr:row>
      <xdr:rowOff>9525</xdr:rowOff>
    </xdr:from>
    <xdr:ext cx="4791075" cy="29622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581025</xdr:colOff>
      <xdr:row>57</xdr:row>
      <xdr:rowOff>38100</xdr:rowOff>
    </xdr:from>
    <xdr:ext cx="5715000" cy="353377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13</xdr:col>
      <xdr:colOff>66675</xdr:colOff>
      <xdr:row>80</xdr:row>
      <xdr:rowOff>114300</xdr:rowOff>
    </xdr:from>
    <xdr:ext cx="5715000" cy="3533775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628650</xdr:colOff>
      <xdr:row>51</xdr:row>
      <xdr:rowOff>66675</xdr:rowOff>
    </xdr:from>
    <xdr:ext cx="6038850" cy="3733800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</xdr:col>
      <xdr:colOff>628650</xdr:colOff>
      <xdr:row>71</xdr:row>
      <xdr:rowOff>95250</xdr:rowOff>
    </xdr:from>
    <xdr:ext cx="5715000" cy="3533775"/>
    <xdr:graphicFrame>
      <xdr:nvGraphicFramePr>
        <xdr:cNvPr id="11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8</xdr:col>
      <xdr:colOff>66675</xdr:colOff>
      <xdr:row>83</xdr:row>
      <xdr:rowOff>133350</xdr:rowOff>
    </xdr:from>
    <xdr:ext cx="5715000" cy="3533775"/>
    <xdr:graphicFrame>
      <xdr:nvGraphicFramePr>
        <xdr:cNvPr id="12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38.38"/>
    <col customWidth="1" min="3" max="3" width="17.88"/>
    <col customWidth="1" min="4" max="4" width="12.63"/>
    <col customWidth="1" min="5" max="5" width="14.25"/>
    <col customWidth="1" min="6" max="6" width="6.38"/>
    <col customWidth="1" min="7" max="7" width="50.25"/>
    <col customWidth="1" min="8" max="8" width="18.88"/>
    <col customWidth="1" min="9" max="9" width="49.88"/>
    <col customWidth="1" min="10" max="31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>
        <v>45062.7896665625</v>
      </c>
      <c r="B2" s="3" t="s">
        <v>25</v>
      </c>
      <c r="C2" s="3" t="s">
        <v>26</v>
      </c>
      <c r="D2" s="3">
        <v>1.0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3" t="s">
        <v>34</v>
      </c>
      <c r="M2" s="3" t="s">
        <v>35</v>
      </c>
      <c r="N2" s="3" t="s">
        <v>35</v>
      </c>
      <c r="O2" s="3" t="s">
        <v>36</v>
      </c>
      <c r="P2" s="3" t="s">
        <v>37</v>
      </c>
      <c r="Q2" s="3" t="s">
        <v>35</v>
      </c>
      <c r="R2" s="3" t="s">
        <v>37</v>
      </c>
      <c r="S2" s="3" t="s">
        <v>35</v>
      </c>
      <c r="T2" s="3" t="s">
        <v>37</v>
      </c>
      <c r="U2" s="3" t="s">
        <v>36</v>
      </c>
      <c r="V2" s="3" t="s">
        <v>36</v>
      </c>
      <c r="W2" s="3" t="s">
        <v>35</v>
      </c>
      <c r="X2" s="3" t="s">
        <v>35</v>
      </c>
      <c r="Y2" s="3" t="s">
        <v>38</v>
      </c>
    </row>
    <row r="3">
      <c r="A3" s="2">
        <v>45063.44563253473</v>
      </c>
      <c r="B3" s="3" t="s">
        <v>39</v>
      </c>
      <c r="C3" s="3" t="s">
        <v>40</v>
      </c>
      <c r="D3" s="3" t="s">
        <v>41</v>
      </c>
      <c r="E3" s="3" t="s">
        <v>42</v>
      </c>
      <c r="F3" s="3" t="s">
        <v>43</v>
      </c>
      <c r="G3" s="3" t="s">
        <v>44</v>
      </c>
      <c r="H3" s="3" t="s">
        <v>45</v>
      </c>
      <c r="I3" s="3" t="s">
        <v>46</v>
      </c>
      <c r="J3" s="3" t="s">
        <v>47</v>
      </c>
      <c r="K3" s="3" t="s">
        <v>48</v>
      </c>
      <c r="L3" s="3" t="s">
        <v>34</v>
      </c>
      <c r="M3" s="3" t="s">
        <v>36</v>
      </c>
      <c r="N3" s="3" t="s">
        <v>37</v>
      </c>
      <c r="O3" s="3" t="s">
        <v>35</v>
      </c>
      <c r="P3" s="3" t="s">
        <v>35</v>
      </c>
      <c r="Q3" s="3" t="s">
        <v>35</v>
      </c>
      <c r="R3" s="3" t="s">
        <v>37</v>
      </c>
      <c r="S3" s="3" t="s">
        <v>35</v>
      </c>
      <c r="T3" s="3" t="s">
        <v>36</v>
      </c>
      <c r="U3" s="3" t="s">
        <v>36</v>
      </c>
      <c r="V3" s="3" t="s">
        <v>35</v>
      </c>
      <c r="W3" s="3" t="s">
        <v>35</v>
      </c>
      <c r="X3" s="3" t="s">
        <v>35</v>
      </c>
      <c r="Y3" s="3" t="s">
        <v>49</v>
      </c>
    </row>
    <row r="4">
      <c r="A4" s="4">
        <v>45063.62929538194</v>
      </c>
      <c r="B4" s="5" t="s">
        <v>50</v>
      </c>
      <c r="C4" s="5" t="s">
        <v>40</v>
      </c>
      <c r="D4" s="5">
        <v>2.0</v>
      </c>
      <c r="E4" s="5" t="s">
        <v>51</v>
      </c>
      <c r="F4" s="5" t="s">
        <v>52</v>
      </c>
      <c r="G4" s="5" t="s">
        <v>53</v>
      </c>
      <c r="H4" s="5" t="s">
        <v>54</v>
      </c>
      <c r="I4" s="5" t="s">
        <v>55</v>
      </c>
      <c r="J4" s="5" t="s">
        <v>56</v>
      </c>
      <c r="K4" s="5" t="s">
        <v>57</v>
      </c>
      <c r="L4" s="5" t="s">
        <v>34</v>
      </c>
      <c r="M4" s="5" t="s">
        <v>35</v>
      </c>
      <c r="N4" s="5" t="s">
        <v>36</v>
      </c>
      <c r="O4" s="5" t="s">
        <v>36</v>
      </c>
      <c r="P4" s="5" t="s">
        <v>35</v>
      </c>
      <c r="Q4" s="5" t="s">
        <v>35</v>
      </c>
      <c r="R4" s="5" t="s">
        <v>35</v>
      </c>
      <c r="S4" s="5" t="s">
        <v>35</v>
      </c>
      <c r="T4" s="5" t="s">
        <v>35</v>
      </c>
      <c r="U4" s="5" t="s">
        <v>37</v>
      </c>
      <c r="V4" s="5" t="s">
        <v>35</v>
      </c>
      <c r="W4" s="5" t="s">
        <v>36</v>
      </c>
      <c r="X4" s="5" t="s">
        <v>35</v>
      </c>
      <c r="Y4" s="5" t="s">
        <v>58</v>
      </c>
      <c r="Z4" s="6"/>
      <c r="AA4" s="6"/>
      <c r="AB4" s="6"/>
      <c r="AC4" s="6"/>
      <c r="AD4" s="6"/>
      <c r="AE4" s="6"/>
    </row>
    <row r="5">
      <c r="A5" s="4">
        <v>45063.63291060185</v>
      </c>
      <c r="B5" s="5" t="s">
        <v>59</v>
      </c>
      <c r="C5" s="5" t="s">
        <v>40</v>
      </c>
      <c r="D5" s="5">
        <v>5.0</v>
      </c>
      <c r="E5" s="5" t="s">
        <v>60</v>
      </c>
      <c r="F5" s="5" t="s">
        <v>61</v>
      </c>
      <c r="G5" s="5" t="s">
        <v>62</v>
      </c>
      <c r="H5" s="5" t="s">
        <v>63</v>
      </c>
      <c r="I5" s="5" t="s">
        <v>64</v>
      </c>
      <c r="J5" s="5" t="s">
        <v>65</v>
      </c>
      <c r="K5" s="5" t="s">
        <v>66</v>
      </c>
      <c r="L5" s="5" t="s">
        <v>34</v>
      </c>
      <c r="M5" s="5" t="s">
        <v>35</v>
      </c>
      <c r="N5" s="5" t="s">
        <v>36</v>
      </c>
      <c r="O5" s="5" t="s">
        <v>37</v>
      </c>
      <c r="P5" s="5" t="s">
        <v>35</v>
      </c>
      <c r="Q5" s="5" t="s">
        <v>35</v>
      </c>
      <c r="R5" s="5" t="s">
        <v>35</v>
      </c>
      <c r="S5" s="5" t="s">
        <v>36</v>
      </c>
      <c r="T5" s="5" t="s">
        <v>35</v>
      </c>
      <c r="U5" s="5" t="s">
        <v>36</v>
      </c>
      <c r="V5" s="5" t="s">
        <v>35</v>
      </c>
      <c r="W5" s="5" t="s">
        <v>36</v>
      </c>
      <c r="X5" s="5" t="s">
        <v>35</v>
      </c>
      <c r="Y5" s="6"/>
      <c r="Z5" s="6"/>
      <c r="AA5" s="6"/>
      <c r="AB5" s="6"/>
      <c r="AC5" s="6"/>
      <c r="AD5" s="6"/>
      <c r="AE5" s="6"/>
    </row>
    <row r="6">
      <c r="A6" s="4">
        <v>45063.63608497685</v>
      </c>
      <c r="B6" s="5" t="s">
        <v>67</v>
      </c>
      <c r="C6" s="5" t="s">
        <v>40</v>
      </c>
      <c r="D6" s="5" t="s">
        <v>68</v>
      </c>
      <c r="E6" s="5" t="s">
        <v>51</v>
      </c>
      <c r="F6" s="5" t="s">
        <v>69</v>
      </c>
      <c r="G6" s="5" t="s">
        <v>70</v>
      </c>
      <c r="H6" s="5" t="s">
        <v>71</v>
      </c>
      <c r="I6" s="5" t="s">
        <v>72</v>
      </c>
      <c r="J6" s="5" t="s">
        <v>73</v>
      </c>
      <c r="K6" s="5" t="s">
        <v>74</v>
      </c>
      <c r="L6" s="5" t="s">
        <v>34</v>
      </c>
      <c r="M6" s="5" t="s">
        <v>35</v>
      </c>
      <c r="N6" s="5" t="s">
        <v>35</v>
      </c>
      <c r="O6" s="5" t="s">
        <v>35</v>
      </c>
      <c r="P6" s="5" t="s">
        <v>35</v>
      </c>
      <c r="Q6" s="5" t="s">
        <v>35</v>
      </c>
      <c r="R6" s="5" t="s">
        <v>35</v>
      </c>
      <c r="S6" s="5" t="s">
        <v>35</v>
      </c>
      <c r="T6" s="5" t="s">
        <v>35</v>
      </c>
      <c r="U6" s="5" t="s">
        <v>35</v>
      </c>
      <c r="V6" s="5" t="s">
        <v>35</v>
      </c>
      <c r="W6" s="5" t="s">
        <v>35</v>
      </c>
      <c r="X6" s="5" t="s">
        <v>35</v>
      </c>
      <c r="Y6" s="6"/>
      <c r="Z6" s="6"/>
      <c r="AA6" s="6"/>
      <c r="AB6" s="6"/>
      <c r="AC6" s="6"/>
      <c r="AD6" s="6"/>
      <c r="AE6" s="6"/>
    </row>
    <row r="7">
      <c r="A7" s="4">
        <v>45063.64358809028</v>
      </c>
      <c r="B7" s="5" t="s">
        <v>59</v>
      </c>
      <c r="C7" s="5" t="s">
        <v>40</v>
      </c>
      <c r="D7" s="5">
        <v>8.0</v>
      </c>
      <c r="E7" s="5" t="s">
        <v>60</v>
      </c>
      <c r="F7" s="5">
        <v>80.0</v>
      </c>
      <c r="G7" s="5" t="s">
        <v>75</v>
      </c>
      <c r="H7" s="5" t="s">
        <v>76</v>
      </c>
      <c r="I7" s="5" t="s">
        <v>77</v>
      </c>
      <c r="J7" s="5" t="s">
        <v>78</v>
      </c>
      <c r="K7" s="5" t="s">
        <v>79</v>
      </c>
      <c r="L7" s="5" t="s">
        <v>34</v>
      </c>
      <c r="M7" s="5" t="s">
        <v>35</v>
      </c>
      <c r="N7" s="5" t="s">
        <v>36</v>
      </c>
      <c r="O7" s="5" t="s">
        <v>37</v>
      </c>
      <c r="P7" s="5" t="s">
        <v>35</v>
      </c>
      <c r="Q7" s="5" t="s">
        <v>35</v>
      </c>
      <c r="R7" s="5" t="s">
        <v>35</v>
      </c>
      <c r="S7" s="5" t="s">
        <v>35</v>
      </c>
      <c r="T7" s="5" t="s">
        <v>35</v>
      </c>
      <c r="U7" s="5" t="s">
        <v>37</v>
      </c>
      <c r="V7" s="5" t="s">
        <v>36</v>
      </c>
      <c r="W7" s="5" t="s">
        <v>37</v>
      </c>
      <c r="X7" s="5" t="s">
        <v>35</v>
      </c>
      <c r="Y7" s="6"/>
      <c r="Z7" s="6"/>
      <c r="AA7" s="6"/>
      <c r="AB7" s="6"/>
      <c r="AC7" s="6"/>
      <c r="AD7" s="6"/>
      <c r="AE7" s="6"/>
    </row>
    <row r="8">
      <c r="A8" s="4">
        <v>45063.65411405092</v>
      </c>
      <c r="B8" s="5" t="s">
        <v>67</v>
      </c>
      <c r="C8" s="5" t="s">
        <v>40</v>
      </c>
      <c r="D8" s="5">
        <v>1.0</v>
      </c>
      <c r="E8" s="6"/>
      <c r="F8" s="5" t="s">
        <v>80</v>
      </c>
      <c r="G8" s="5" t="s">
        <v>81</v>
      </c>
      <c r="H8" s="5" t="s">
        <v>82</v>
      </c>
      <c r="I8" s="5" t="s">
        <v>83</v>
      </c>
      <c r="J8" s="5" t="s">
        <v>84</v>
      </c>
      <c r="K8" s="5" t="s">
        <v>85</v>
      </c>
      <c r="L8" s="5" t="s">
        <v>34</v>
      </c>
      <c r="M8" s="5" t="s">
        <v>35</v>
      </c>
      <c r="N8" s="5" t="s">
        <v>37</v>
      </c>
      <c r="O8" s="5" t="s">
        <v>37</v>
      </c>
      <c r="P8" s="5" t="s">
        <v>35</v>
      </c>
      <c r="Q8" s="5" t="s">
        <v>35</v>
      </c>
      <c r="R8" s="5" t="s">
        <v>35</v>
      </c>
      <c r="S8" s="5" t="s">
        <v>35</v>
      </c>
      <c r="T8" s="5" t="s">
        <v>35</v>
      </c>
      <c r="U8" s="5" t="s">
        <v>37</v>
      </c>
      <c r="V8" s="5" t="s">
        <v>35</v>
      </c>
      <c r="W8" s="5" t="s">
        <v>35</v>
      </c>
      <c r="X8" s="5" t="s">
        <v>35</v>
      </c>
      <c r="Y8" s="5" t="s">
        <v>86</v>
      </c>
      <c r="Z8" s="6"/>
      <c r="AA8" s="6"/>
      <c r="AB8" s="6"/>
      <c r="AC8" s="6"/>
      <c r="AD8" s="6"/>
      <c r="AE8" s="6"/>
    </row>
    <row r="9">
      <c r="A9" s="4">
        <v>45063.65733090277</v>
      </c>
      <c r="B9" s="5" t="s">
        <v>67</v>
      </c>
      <c r="C9" s="5" t="s">
        <v>40</v>
      </c>
      <c r="D9" s="5">
        <v>6.0</v>
      </c>
      <c r="E9" s="6"/>
      <c r="F9" s="5" t="s">
        <v>87</v>
      </c>
      <c r="G9" s="5" t="s">
        <v>88</v>
      </c>
      <c r="H9" s="5" t="s">
        <v>89</v>
      </c>
      <c r="I9" s="5" t="s">
        <v>90</v>
      </c>
      <c r="J9" s="5" t="s">
        <v>91</v>
      </c>
      <c r="K9" s="5" t="s">
        <v>92</v>
      </c>
      <c r="L9" s="5" t="s">
        <v>34</v>
      </c>
      <c r="M9" s="5" t="s">
        <v>35</v>
      </c>
      <c r="N9" s="5" t="s">
        <v>36</v>
      </c>
      <c r="O9" s="5" t="s">
        <v>37</v>
      </c>
      <c r="P9" s="5" t="s">
        <v>36</v>
      </c>
      <c r="Q9" s="5" t="s">
        <v>35</v>
      </c>
      <c r="R9" s="5" t="s">
        <v>35</v>
      </c>
      <c r="S9" s="5" t="s">
        <v>36</v>
      </c>
      <c r="T9" s="5" t="s">
        <v>35</v>
      </c>
      <c r="U9" s="5" t="s">
        <v>36</v>
      </c>
      <c r="V9" s="5" t="s">
        <v>35</v>
      </c>
      <c r="W9" s="5" t="s">
        <v>37</v>
      </c>
      <c r="X9" s="5" t="s">
        <v>35</v>
      </c>
      <c r="Y9" s="6"/>
      <c r="Z9" s="6"/>
      <c r="AA9" s="6"/>
      <c r="AB9" s="6"/>
      <c r="AC9" s="6"/>
      <c r="AD9" s="6"/>
      <c r="AE9" s="6"/>
    </row>
    <row r="10">
      <c r="A10" s="4">
        <v>45063.66104958333</v>
      </c>
      <c r="B10" s="5" t="s">
        <v>67</v>
      </c>
      <c r="C10" s="5" t="s">
        <v>40</v>
      </c>
      <c r="D10" s="7" t="s">
        <v>93</v>
      </c>
      <c r="E10" s="6"/>
      <c r="F10" s="5" t="s">
        <v>94</v>
      </c>
      <c r="G10" s="5" t="s">
        <v>95</v>
      </c>
      <c r="H10" s="5" t="s">
        <v>96</v>
      </c>
      <c r="I10" s="5" t="s">
        <v>97</v>
      </c>
      <c r="J10" s="5" t="s">
        <v>73</v>
      </c>
      <c r="K10" s="5" t="s">
        <v>98</v>
      </c>
      <c r="L10" s="5" t="s">
        <v>34</v>
      </c>
      <c r="M10" s="5" t="s">
        <v>35</v>
      </c>
      <c r="N10" s="5" t="s">
        <v>36</v>
      </c>
      <c r="O10" s="5" t="s">
        <v>36</v>
      </c>
      <c r="P10" s="5" t="s">
        <v>35</v>
      </c>
      <c r="Q10" s="5" t="s">
        <v>35</v>
      </c>
      <c r="R10" s="5" t="s">
        <v>35</v>
      </c>
      <c r="S10" s="5" t="s">
        <v>35</v>
      </c>
      <c r="T10" s="5" t="s">
        <v>35</v>
      </c>
      <c r="U10" s="5" t="s">
        <v>37</v>
      </c>
      <c r="V10" s="5" t="s">
        <v>36</v>
      </c>
      <c r="W10" s="5" t="s">
        <v>35</v>
      </c>
      <c r="X10" s="5" t="s">
        <v>35</v>
      </c>
      <c r="Y10" s="6"/>
      <c r="Z10" s="6"/>
      <c r="AA10" s="6"/>
      <c r="AB10" s="6"/>
      <c r="AC10" s="6"/>
      <c r="AD10" s="6"/>
      <c r="AE10" s="6"/>
    </row>
    <row r="11">
      <c r="A11" s="8">
        <v>45063.78197243056</v>
      </c>
      <c r="B11" s="9" t="s">
        <v>99</v>
      </c>
      <c r="C11" s="9" t="s">
        <v>40</v>
      </c>
      <c r="D11" s="9">
        <v>25.0</v>
      </c>
      <c r="E11" s="9" t="s">
        <v>100</v>
      </c>
      <c r="F11" s="9">
        <v>80.0</v>
      </c>
      <c r="G11" s="9" t="s">
        <v>101</v>
      </c>
      <c r="H11" s="9" t="s">
        <v>102</v>
      </c>
      <c r="I11" s="9" t="s">
        <v>101</v>
      </c>
      <c r="J11" s="9" t="s">
        <v>101</v>
      </c>
      <c r="K11" s="9" t="s">
        <v>103</v>
      </c>
      <c r="L11" s="9" t="s">
        <v>34</v>
      </c>
      <c r="M11" s="9" t="s">
        <v>37</v>
      </c>
      <c r="N11" s="9" t="s">
        <v>36</v>
      </c>
      <c r="O11" s="9" t="s">
        <v>36</v>
      </c>
      <c r="P11" s="9" t="s">
        <v>36</v>
      </c>
      <c r="Q11" s="9" t="s">
        <v>36</v>
      </c>
      <c r="R11" s="9" t="s">
        <v>104</v>
      </c>
      <c r="S11" s="9" t="s">
        <v>36</v>
      </c>
      <c r="T11" s="9" t="s">
        <v>36</v>
      </c>
      <c r="U11" s="9" t="s">
        <v>36</v>
      </c>
      <c r="V11" s="9" t="s">
        <v>36</v>
      </c>
      <c r="W11" s="9" t="s">
        <v>36</v>
      </c>
      <c r="X11" s="9" t="s">
        <v>36</v>
      </c>
      <c r="Y11" s="10"/>
      <c r="Z11" s="10"/>
      <c r="AA11" s="10"/>
      <c r="AB11" s="10"/>
      <c r="AC11" s="10"/>
      <c r="AD11" s="10"/>
      <c r="AE11" s="10"/>
    </row>
    <row r="12">
      <c r="A12" s="8">
        <v>45068.90312120371</v>
      </c>
      <c r="B12" s="9" t="s">
        <v>105</v>
      </c>
      <c r="C12" s="9" t="s">
        <v>106</v>
      </c>
      <c r="D12" s="9" t="s">
        <v>107</v>
      </c>
      <c r="E12" s="9" t="s">
        <v>108</v>
      </c>
      <c r="F12" s="9" t="s">
        <v>109</v>
      </c>
      <c r="G12" s="9" t="s">
        <v>110</v>
      </c>
      <c r="H12" s="9" t="s">
        <v>111</v>
      </c>
      <c r="I12" s="9" t="s">
        <v>112</v>
      </c>
      <c r="J12" s="9" t="s">
        <v>113</v>
      </c>
      <c r="K12" s="9" t="s">
        <v>114</v>
      </c>
      <c r="L12" s="9" t="s">
        <v>34</v>
      </c>
      <c r="M12" s="9" t="s">
        <v>36</v>
      </c>
      <c r="N12" s="9" t="s">
        <v>36</v>
      </c>
      <c r="O12" s="9" t="s">
        <v>35</v>
      </c>
      <c r="P12" s="9" t="s">
        <v>35</v>
      </c>
      <c r="Q12" s="9" t="s">
        <v>35</v>
      </c>
      <c r="R12" s="9" t="s">
        <v>37</v>
      </c>
      <c r="S12" s="9" t="s">
        <v>35</v>
      </c>
      <c r="T12" s="9" t="s">
        <v>36</v>
      </c>
      <c r="U12" s="9" t="s">
        <v>37</v>
      </c>
      <c r="V12" s="9" t="s">
        <v>35</v>
      </c>
      <c r="W12" s="9" t="s">
        <v>35</v>
      </c>
      <c r="X12" s="9" t="s">
        <v>35</v>
      </c>
      <c r="Y12" s="10"/>
      <c r="Z12" s="10"/>
      <c r="AA12" s="10"/>
      <c r="AB12" s="10"/>
      <c r="AC12" s="10"/>
      <c r="AD12" s="10"/>
      <c r="AE12" s="10"/>
    </row>
    <row r="13">
      <c r="A13" s="11">
        <v>45068.907013495365</v>
      </c>
      <c r="B13" s="12" t="s">
        <v>115</v>
      </c>
      <c r="C13" s="12" t="s">
        <v>40</v>
      </c>
      <c r="D13" s="12" t="s">
        <v>116</v>
      </c>
      <c r="E13" s="13"/>
      <c r="F13" s="12">
        <v>90.0</v>
      </c>
      <c r="G13" s="12" t="s">
        <v>117</v>
      </c>
      <c r="H13" s="12" t="s">
        <v>118</v>
      </c>
      <c r="I13" s="12" t="s">
        <v>119</v>
      </c>
      <c r="J13" s="12" t="s">
        <v>120</v>
      </c>
      <c r="K13" s="12" t="s">
        <v>121</v>
      </c>
      <c r="L13" s="12" t="s">
        <v>34</v>
      </c>
      <c r="M13" s="12" t="s">
        <v>35</v>
      </c>
      <c r="N13" s="12" t="s">
        <v>36</v>
      </c>
      <c r="O13" s="12" t="s">
        <v>36</v>
      </c>
      <c r="P13" s="12" t="s">
        <v>36</v>
      </c>
      <c r="Q13" s="12" t="s">
        <v>35</v>
      </c>
      <c r="R13" s="12" t="s">
        <v>104</v>
      </c>
      <c r="S13" s="12" t="s">
        <v>35</v>
      </c>
      <c r="T13" s="12" t="s">
        <v>36</v>
      </c>
      <c r="U13" s="12" t="s">
        <v>37</v>
      </c>
      <c r="V13" s="12" t="s">
        <v>36</v>
      </c>
      <c r="W13" s="12" t="s">
        <v>35</v>
      </c>
      <c r="X13" s="12" t="s">
        <v>36</v>
      </c>
      <c r="Y13" s="13"/>
      <c r="Z13" s="13"/>
      <c r="AA13" s="13"/>
      <c r="AB13" s="13"/>
      <c r="AC13" s="13"/>
      <c r="AD13" s="13"/>
      <c r="AE13" s="13"/>
    </row>
    <row r="14">
      <c r="A14" s="8">
        <v>45068.91000650463</v>
      </c>
      <c r="B14" s="9" t="s">
        <v>122</v>
      </c>
      <c r="C14" s="9" t="s">
        <v>40</v>
      </c>
      <c r="D14" s="9" t="s">
        <v>123</v>
      </c>
      <c r="E14" s="10"/>
      <c r="F14" s="9">
        <v>65.0</v>
      </c>
      <c r="G14" s="9" t="s">
        <v>124</v>
      </c>
      <c r="H14" s="9" t="s">
        <v>125</v>
      </c>
      <c r="I14" s="9" t="s">
        <v>126</v>
      </c>
      <c r="J14" s="9" t="s">
        <v>112</v>
      </c>
      <c r="K14" s="9" t="s">
        <v>127</v>
      </c>
      <c r="L14" s="9" t="s">
        <v>104</v>
      </c>
      <c r="M14" s="9" t="s">
        <v>35</v>
      </c>
      <c r="N14" s="9" t="s">
        <v>35</v>
      </c>
      <c r="O14" s="9" t="s">
        <v>104</v>
      </c>
      <c r="P14" s="9" t="s">
        <v>35</v>
      </c>
      <c r="Q14" s="9" t="s">
        <v>35</v>
      </c>
      <c r="R14" s="9" t="s">
        <v>35</v>
      </c>
      <c r="S14" s="9" t="s">
        <v>35</v>
      </c>
      <c r="T14" s="9" t="s">
        <v>36</v>
      </c>
      <c r="U14" s="9" t="s">
        <v>37</v>
      </c>
      <c r="V14" s="9" t="s">
        <v>37</v>
      </c>
      <c r="W14" s="9" t="s">
        <v>36</v>
      </c>
      <c r="X14" s="9" t="s">
        <v>35</v>
      </c>
      <c r="Y14" s="9" t="s">
        <v>128</v>
      </c>
      <c r="Z14" s="10"/>
      <c r="AA14" s="10"/>
      <c r="AB14" s="10"/>
      <c r="AC14" s="10"/>
      <c r="AD14" s="10"/>
      <c r="AE14" s="10"/>
    </row>
    <row r="15">
      <c r="A15" s="8">
        <v>45068.91354130787</v>
      </c>
      <c r="B15" s="9" t="s">
        <v>129</v>
      </c>
      <c r="C15" s="9" t="s">
        <v>106</v>
      </c>
      <c r="D15" s="9" t="s">
        <v>116</v>
      </c>
      <c r="E15" s="9" t="s">
        <v>130</v>
      </c>
      <c r="F15" s="9">
        <v>75.0</v>
      </c>
      <c r="G15" s="9" t="s">
        <v>131</v>
      </c>
      <c r="H15" s="9" t="s">
        <v>132</v>
      </c>
      <c r="I15" s="9" t="s">
        <v>133</v>
      </c>
      <c r="J15" s="9" t="s">
        <v>134</v>
      </c>
      <c r="K15" s="9" t="s">
        <v>135</v>
      </c>
      <c r="L15" s="9" t="s">
        <v>104</v>
      </c>
      <c r="M15" s="9" t="s">
        <v>35</v>
      </c>
      <c r="N15" s="9" t="s">
        <v>36</v>
      </c>
      <c r="O15" s="9" t="s">
        <v>35</v>
      </c>
      <c r="P15" s="9" t="s">
        <v>35</v>
      </c>
      <c r="Q15" s="9" t="s">
        <v>36</v>
      </c>
      <c r="R15" s="9" t="s">
        <v>35</v>
      </c>
      <c r="S15" s="9" t="s">
        <v>35</v>
      </c>
      <c r="T15" s="9" t="s">
        <v>36</v>
      </c>
      <c r="U15" s="9" t="s">
        <v>104</v>
      </c>
      <c r="V15" s="9" t="s">
        <v>36</v>
      </c>
      <c r="W15" s="9" t="s">
        <v>36</v>
      </c>
      <c r="X15" s="9" t="s">
        <v>36</v>
      </c>
      <c r="Y15" s="9" t="s">
        <v>136</v>
      </c>
      <c r="Z15" s="10"/>
      <c r="AA15" s="10"/>
      <c r="AB15" s="10"/>
      <c r="AC15" s="10"/>
      <c r="AD15" s="10"/>
      <c r="AE15" s="10"/>
    </row>
    <row r="16">
      <c r="A16" s="11">
        <v>45068.91620226852</v>
      </c>
      <c r="B16" s="12" t="s">
        <v>137</v>
      </c>
      <c r="C16" s="12" t="s">
        <v>106</v>
      </c>
      <c r="D16" s="12">
        <v>1.0</v>
      </c>
      <c r="E16" s="12" t="s">
        <v>138</v>
      </c>
      <c r="F16" s="12">
        <v>95.0</v>
      </c>
      <c r="G16" s="12" t="s">
        <v>139</v>
      </c>
      <c r="H16" s="12" t="s">
        <v>140</v>
      </c>
      <c r="I16" s="12" t="s">
        <v>141</v>
      </c>
      <c r="J16" s="12" t="s">
        <v>112</v>
      </c>
      <c r="K16" s="12" t="s">
        <v>142</v>
      </c>
      <c r="L16" s="12" t="s">
        <v>104</v>
      </c>
      <c r="M16" s="12" t="s">
        <v>37</v>
      </c>
      <c r="N16" s="12" t="s">
        <v>104</v>
      </c>
      <c r="O16" s="12" t="s">
        <v>37</v>
      </c>
      <c r="P16" s="12" t="s">
        <v>37</v>
      </c>
      <c r="Q16" s="12" t="s">
        <v>104</v>
      </c>
      <c r="R16" s="12" t="s">
        <v>104</v>
      </c>
      <c r="S16" s="12" t="s">
        <v>37</v>
      </c>
      <c r="T16" s="12" t="s">
        <v>104</v>
      </c>
      <c r="U16" s="12" t="s">
        <v>104</v>
      </c>
      <c r="V16" s="12" t="s">
        <v>104</v>
      </c>
      <c r="W16" s="12" t="s">
        <v>104</v>
      </c>
      <c r="X16" s="12" t="s">
        <v>34</v>
      </c>
      <c r="Y16" s="12" t="s">
        <v>143</v>
      </c>
      <c r="Z16" s="13"/>
      <c r="AA16" s="13"/>
      <c r="AB16" s="13"/>
      <c r="AC16" s="13"/>
      <c r="AD16" s="13"/>
      <c r="AE16" s="13"/>
    </row>
    <row r="17">
      <c r="A17" s="4">
        <v>45068.92018159722</v>
      </c>
      <c r="B17" s="5" t="s">
        <v>144</v>
      </c>
      <c r="C17" s="5" t="s">
        <v>145</v>
      </c>
      <c r="D17" s="5">
        <v>1.0</v>
      </c>
      <c r="E17" s="6"/>
      <c r="F17" s="5">
        <v>60.0</v>
      </c>
      <c r="G17" s="5" t="s">
        <v>146</v>
      </c>
      <c r="H17" s="5" t="s">
        <v>147</v>
      </c>
      <c r="I17" s="5" t="s">
        <v>148</v>
      </c>
      <c r="J17" s="5" t="s">
        <v>149</v>
      </c>
      <c r="K17" s="5" t="s">
        <v>150</v>
      </c>
      <c r="L17" s="5" t="s">
        <v>34</v>
      </c>
      <c r="M17" s="5" t="s">
        <v>35</v>
      </c>
      <c r="N17" s="5" t="s">
        <v>35</v>
      </c>
      <c r="O17" s="5" t="s">
        <v>36</v>
      </c>
      <c r="P17" s="5" t="s">
        <v>35</v>
      </c>
      <c r="Q17" s="5" t="s">
        <v>35</v>
      </c>
      <c r="R17" s="5" t="s">
        <v>36</v>
      </c>
      <c r="S17" s="5" t="s">
        <v>36</v>
      </c>
      <c r="T17" s="5" t="s">
        <v>36</v>
      </c>
      <c r="U17" s="5" t="s">
        <v>36</v>
      </c>
      <c r="V17" s="5" t="s">
        <v>36</v>
      </c>
      <c r="W17" s="5" t="s">
        <v>36</v>
      </c>
      <c r="X17" s="5" t="s">
        <v>37</v>
      </c>
      <c r="Y17" s="6"/>
      <c r="Z17" s="6"/>
      <c r="AA17" s="6"/>
      <c r="AB17" s="6"/>
      <c r="AC17" s="6"/>
      <c r="AD17" s="6"/>
      <c r="AE17" s="6"/>
    </row>
    <row r="18">
      <c r="A18" s="4">
        <v>45068.92319148148</v>
      </c>
      <c r="B18" s="5" t="s">
        <v>151</v>
      </c>
      <c r="C18" s="5" t="s">
        <v>152</v>
      </c>
      <c r="D18" s="5" t="s">
        <v>116</v>
      </c>
      <c r="E18" s="6"/>
      <c r="F18" s="5">
        <v>78.0</v>
      </c>
      <c r="G18" s="5" t="s">
        <v>153</v>
      </c>
      <c r="H18" s="5" t="s">
        <v>154</v>
      </c>
      <c r="I18" s="5" t="s">
        <v>155</v>
      </c>
      <c r="J18" s="5" t="s">
        <v>156</v>
      </c>
      <c r="K18" s="5" t="s">
        <v>157</v>
      </c>
      <c r="L18" s="5" t="s">
        <v>104</v>
      </c>
      <c r="M18" s="5" t="s">
        <v>36</v>
      </c>
      <c r="N18" s="5" t="s">
        <v>104</v>
      </c>
      <c r="O18" s="5" t="s">
        <v>37</v>
      </c>
      <c r="P18" s="5" t="s">
        <v>36</v>
      </c>
      <c r="Q18" s="5" t="s">
        <v>37</v>
      </c>
      <c r="R18" s="5" t="s">
        <v>37</v>
      </c>
      <c r="S18" s="5" t="s">
        <v>36</v>
      </c>
      <c r="T18" s="5" t="s">
        <v>36</v>
      </c>
      <c r="U18" s="5" t="s">
        <v>104</v>
      </c>
      <c r="V18" s="5" t="s">
        <v>37</v>
      </c>
      <c r="W18" s="5" t="s">
        <v>36</v>
      </c>
      <c r="X18" s="5" t="s">
        <v>104</v>
      </c>
      <c r="Y18" s="6"/>
      <c r="Z18" s="6"/>
      <c r="AA18" s="6"/>
      <c r="AB18" s="6"/>
      <c r="AC18" s="6"/>
      <c r="AD18" s="6"/>
      <c r="AE18" s="6"/>
    </row>
    <row r="19">
      <c r="A19" s="11">
        <v>45068.9266240162</v>
      </c>
      <c r="B19" s="12" t="s">
        <v>158</v>
      </c>
      <c r="C19" s="12" t="s">
        <v>152</v>
      </c>
      <c r="D19" s="12" t="s">
        <v>123</v>
      </c>
      <c r="E19" s="13"/>
      <c r="F19" s="12">
        <v>70.0</v>
      </c>
      <c r="G19" s="12" t="s">
        <v>159</v>
      </c>
      <c r="H19" s="12" t="s">
        <v>160</v>
      </c>
      <c r="I19" s="12" t="s">
        <v>161</v>
      </c>
      <c r="J19" s="12" t="s">
        <v>162</v>
      </c>
      <c r="K19" s="12" t="s">
        <v>163</v>
      </c>
      <c r="L19" s="12" t="s">
        <v>37</v>
      </c>
      <c r="M19" s="12" t="s">
        <v>36</v>
      </c>
      <c r="N19" s="12" t="s">
        <v>37</v>
      </c>
      <c r="O19" s="12" t="s">
        <v>36</v>
      </c>
      <c r="P19" s="12" t="s">
        <v>37</v>
      </c>
      <c r="Q19" s="12" t="s">
        <v>37</v>
      </c>
      <c r="R19" s="12" t="s">
        <v>104</v>
      </c>
      <c r="S19" s="12" t="s">
        <v>36</v>
      </c>
      <c r="T19" s="12" t="s">
        <v>36</v>
      </c>
      <c r="U19" s="12" t="s">
        <v>37</v>
      </c>
      <c r="V19" s="12" t="s">
        <v>37</v>
      </c>
      <c r="W19" s="12" t="s">
        <v>36</v>
      </c>
      <c r="X19" s="12" t="s">
        <v>37</v>
      </c>
      <c r="Y19" s="12" t="s">
        <v>164</v>
      </c>
      <c r="Z19" s="13"/>
      <c r="AA19" s="13"/>
      <c r="AB19" s="13"/>
      <c r="AC19" s="13"/>
      <c r="AD19" s="13"/>
      <c r="AE19" s="13"/>
    </row>
    <row r="20">
      <c r="A20" s="8">
        <v>45068.930575185186</v>
      </c>
      <c r="B20" s="9" t="s">
        <v>165</v>
      </c>
      <c r="C20" s="9" t="s">
        <v>145</v>
      </c>
      <c r="D20" s="9" t="s">
        <v>166</v>
      </c>
      <c r="E20" s="9" t="s">
        <v>167</v>
      </c>
      <c r="F20" s="9">
        <v>50.0</v>
      </c>
      <c r="G20" s="9" t="s">
        <v>168</v>
      </c>
      <c r="H20" s="9" t="s">
        <v>169</v>
      </c>
      <c r="I20" s="9" t="s">
        <v>170</v>
      </c>
      <c r="J20" s="9" t="s">
        <v>134</v>
      </c>
      <c r="K20" s="9" t="s">
        <v>171</v>
      </c>
      <c r="L20" s="9" t="s">
        <v>34</v>
      </c>
      <c r="M20" s="9" t="s">
        <v>35</v>
      </c>
      <c r="N20" s="9" t="s">
        <v>35</v>
      </c>
      <c r="O20" s="9" t="s">
        <v>35</v>
      </c>
      <c r="P20" s="9" t="s">
        <v>35</v>
      </c>
      <c r="Q20" s="9" t="s">
        <v>35</v>
      </c>
      <c r="R20" s="9" t="s">
        <v>35</v>
      </c>
      <c r="S20" s="9" t="s">
        <v>35</v>
      </c>
      <c r="T20" s="9" t="s">
        <v>35</v>
      </c>
      <c r="U20" s="9" t="s">
        <v>37</v>
      </c>
      <c r="V20" s="9" t="s">
        <v>37</v>
      </c>
      <c r="W20" s="9" t="s">
        <v>35</v>
      </c>
      <c r="X20" s="9" t="s">
        <v>35</v>
      </c>
      <c r="Y20" s="9" t="s">
        <v>172</v>
      </c>
      <c r="Z20" s="10"/>
      <c r="AA20" s="10"/>
      <c r="AB20" s="10"/>
      <c r="AC20" s="10"/>
      <c r="AD20" s="10"/>
      <c r="AE20" s="10"/>
    </row>
    <row r="21">
      <c r="A21" s="4">
        <v>45069.50454673611</v>
      </c>
      <c r="B21" s="5" t="s">
        <v>50</v>
      </c>
      <c r="C21" s="5" t="s">
        <v>173</v>
      </c>
      <c r="D21" s="7" t="s">
        <v>174</v>
      </c>
      <c r="E21" s="5" t="s">
        <v>51</v>
      </c>
      <c r="F21" s="5" t="s">
        <v>175</v>
      </c>
      <c r="G21" s="5" t="s">
        <v>176</v>
      </c>
      <c r="H21" s="5" t="s">
        <v>177</v>
      </c>
      <c r="I21" s="5" t="s">
        <v>178</v>
      </c>
      <c r="J21" s="5" t="s">
        <v>65</v>
      </c>
      <c r="K21" s="5" t="s">
        <v>127</v>
      </c>
      <c r="L21" s="5" t="s">
        <v>34</v>
      </c>
      <c r="M21" s="5" t="s">
        <v>36</v>
      </c>
      <c r="N21" s="5" t="s">
        <v>37</v>
      </c>
      <c r="O21" s="5" t="s">
        <v>37</v>
      </c>
      <c r="P21" s="5" t="s">
        <v>35</v>
      </c>
      <c r="Q21" s="5" t="s">
        <v>35</v>
      </c>
      <c r="R21" s="5" t="s">
        <v>35</v>
      </c>
      <c r="S21" s="5" t="s">
        <v>36</v>
      </c>
      <c r="T21" s="5" t="s">
        <v>35</v>
      </c>
      <c r="U21" s="5" t="s">
        <v>36</v>
      </c>
      <c r="V21" s="5" t="s">
        <v>35</v>
      </c>
      <c r="W21" s="5" t="s">
        <v>36</v>
      </c>
      <c r="X21" s="5" t="s">
        <v>35</v>
      </c>
      <c r="Y21" s="6"/>
      <c r="Z21" s="6"/>
      <c r="AA21" s="6"/>
      <c r="AB21" s="6"/>
      <c r="AC21" s="6"/>
      <c r="AD21" s="6"/>
      <c r="AE21" s="6"/>
    </row>
    <row r="22">
      <c r="A22" s="4">
        <v>45069.50927130787</v>
      </c>
      <c r="B22" s="5" t="s">
        <v>67</v>
      </c>
      <c r="C22" s="5" t="s">
        <v>173</v>
      </c>
      <c r="D22" s="5">
        <v>1.0</v>
      </c>
      <c r="E22" s="5" t="s">
        <v>51</v>
      </c>
      <c r="F22" s="5" t="s">
        <v>179</v>
      </c>
      <c r="G22" s="5" t="s">
        <v>180</v>
      </c>
      <c r="H22" s="5" t="s">
        <v>181</v>
      </c>
      <c r="I22" s="5" t="s">
        <v>182</v>
      </c>
      <c r="J22" s="5" t="s">
        <v>73</v>
      </c>
      <c r="K22" s="5">
        <v>3.0</v>
      </c>
      <c r="L22" s="5" t="s">
        <v>34</v>
      </c>
      <c r="M22" s="5" t="s">
        <v>35</v>
      </c>
      <c r="N22" s="5" t="s">
        <v>37</v>
      </c>
      <c r="O22" s="5" t="s">
        <v>37</v>
      </c>
      <c r="P22" s="5" t="s">
        <v>35</v>
      </c>
      <c r="Q22" s="5" t="s">
        <v>35</v>
      </c>
      <c r="R22" s="5" t="s">
        <v>35</v>
      </c>
      <c r="S22" s="5" t="s">
        <v>35</v>
      </c>
      <c r="T22" s="5" t="s">
        <v>35</v>
      </c>
      <c r="U22" s="5" t="s">
        <v>37</v>
      </c>
      <c r="V22" s="5" t="s">
        <v>36</v>
      </c>
      <c r="W22" s="5" t="s">
        <v>36</v>
      </c>
      <c r="X22" s="5" t="s">
        <v>35</v>
      </c>
      <c r="Y22" s="6"/>
      <c r="Z22" s="6"/>
      <c r="AA22" s="6"/>
      <c r="AB22" s="6"/>
      <c r="AC22" s="6"/>
      <c r="AD22" s="6"/>
      <c r="AE22" s="6"/>
    </row>
    <row r="23">
      <c r="A23" s="14">
        <v>45071.85562162037</v>
      </c>
      <c r="B23" s="15" t="s">
        <v>183</v>
      </c>
      <c r="C23" s="15" t="s">
        <v>184</v>
      </c>
      <c r="D23" s="15">
        <v>1.0</v>
      </c>
      <c r="E23" s="15" t="s">
        <v>185</v>
      </c>
      <c r="F23" s="15" t="s">
        <v>186</v>
      </c>
      <c r="G23" s="15" t="s">
        <v>187</v>
      </c>
      <c r="H23" s="15" t="s">
        <v>188</v>
      </c>
      <c r="I23" s="15" t="s">
        <v>189</v>
      </c>
      <c r="J23" s="15" t="s">
        <v>190</v>
      </c>
      <c r="K23" s="15" t="s">
        <v>191</v>
      </c>
      <c r="L23" s="15" t="s">
        <v>104</v>
      </c>
      <c r="M23" s="15" t="s">
        <v>36</v>
      </c>
      <c r="N23" s="15" t="s">
        <v>35</v>
      </c>
      <c r="O23" s="15" t="s">
        <v>104</v>
      </c>
      <c r="P23" s="15" t="s">
        <v>37</v>
      </c>
      <c r="Q23" s="15" t="s">
        <v>35</v>
      </c>
      <c r="R23" s="15" t="s">
        <v>37</v>
      </c>
      <c r="S23" s="15" t="s">
        <v>36</v>
      </c>
      <c r="T23" s="15" t="s">
        <v>36</v>
      </c>
      <c r="U23" s="15" t="s">
        <v>36</v>
      </c>
      <c r="V23" s="15" t="s">
        <v>36</v>
      </c>
      <c r="W23" s="15" t="s">
        <v>36</v>
      </c>
      <c r="X23" s="15" t="s">
        <v>36</v>
      </c>
      <c r="Y23" s="15" t="s">
        <v>192</v>
      </c>
      <c r="Z23" s="16"/>
      <c r="AA23" s="16"/>
      <c r="AB23" s="16"/>
      <c r="AC23" s="16"/>
      <c r="AD23" s="16"/>
      <c r="AE23" s="16"/>
    </row>
    <row r="24">
      <c r="A24" s="17">
        <v>45071.86308081019</v>
      </c>
      <c r="B24" s="18" t="s">
        <v>193</v>
      </c>
      <c r="C24" s="18" t="s">
        <v>194</v>
      </c>
      <c r="D24" s="18" t="s">
        <v>116</v>
      </c>
      <c r="E24" s="18" t="s">
        <v>195</v>
      </c>
      <c r="F24" s="18" t="s">
        <v>196</v>
      </c>
      <c r="G24" s="18" t="s">
        <v>197</v>
      </c>
      <c r="H24" s="18" t="s">
        <v>198</v>
      </c>
      <c r="I24" s="18" t="s">
        <v>199</v>
      </c>
      <c r="J24" s="18" t="s">
        <v>200</v>
      </c>
      <c r="K24" s="18" t="s">
        <v>201</v>
      </c>
      <c r="L24" s="18" t="s">
        <v>34</v>
      </c>
      <c r="M24" s="18" t="s">
        <v>35</v>
      </c>
      <c r="N24" s="18" t="s">
        <v>104</v>
      </c>
      <c r="O24" s="18" t="s">
        <v>36</v>
      </c>
      <c r="P24" s="18" t="s">
        <v>35</v>
      </c>
      <c r="Q24" s="18" t="s">
        <v>36</v>
      </c>
      <c r="R24" s="18" t="s">
        <v>34</v>
      </c>
      <c r="S24" s="18" t="s">
        <v>36</v>
      </c>
      <c r="T24" s="18" t="s">
        <v>36</v>
      </c>
      <c r="U24" s="18" t="s">
        <v>36</v>
      </c>
      <c r="V24" s="18" t="s">
        <v>104</v>
      </c>
      <c r="W24" s="18" t="s">
        <v>37</v>
      </c>
      <c r="X24" s="18" t="s">
        <v>35</v>
      </c>
      <c r="Y24" s="18" t="s">
        <v>202</v>
      </c>
      <c r="Z24" s="19"/>
      <c r="AA24" s="19"/>
      <c r="AB24" s="19"/>
      <c r="AC24" s="19"/>
      <c r="AD24" s="19"/>
      <c r="AE24" s="19"/>
    </row>
    <row r="25">
      <c r="A25" s="14">
        <v>45071.86805331019</v>
      </c>
      <c r="B25" s="15" t="s">
        <v>203</v>
      </c>
      <c r="C25" s="15" t="s">
        <v>173</v>
      </c>
      <c r="D25" s="15" t="s">
        <v>204</v>
      </c>
      <c r="E25" s="15" t="s">
        <v>205</v>
      </c>
      <c r="F25" s="15" t="s">
        <v>206</v>
      </c>
      <c r="G25" s="15" t="s">
        <v>207</v>
      </c>
      <c r="H25" s="15" t="s">
        <v>208</v>
      </c>
      <c r="I25" s="15" t="s">
        <v>209</v>
      </c>
      <c r="J25" s="15" t="s">
        <v>210</v>
      </c>
      <c r="K25" s="15" t="s">
        <v>211</v>
      </c>
      <c r="L25" s="15" t="s">
        <v>104</v>
      </c>
      <c r="M25" s="15" t="s">
        <v>36</v>
      </c>
      <c r="N25" s="15" t="s">
        <v>35</v>
      </c>
      <c r="O25" s="15" t="s">
        <v>37</v>
      </c>
      <c r="P25" s="15" t="s">
        <v>36</v>
      </c>
      <c r="Q25" s="15" t="s">
        <v>37</v>
      </c>
      <c r="R25" s="15" t="s">
        <v>34</v>
      </c>
      <c r="S25" s="15" t="s">
        <v>36</v>
      </c>
      <c r="T25" s="15" t="s">
        <v>36</v>
      </c>
      <c r="U25" s="15" t="s">
        <v>37</v>
      </c>
      <c r="V25" s="15" t="s">
        <v>104</v>
      </c>
      <c r="W25" s="15" t="s">
        <v>36</v>
      </c>
      <c r="X25" s="15" t="s">
        <v>37</v>
      </c>
      <c r="Y25" s="16"/>
      <c r="Z25" s="16"/>
      <c r="AA25" s="16"/>
      <c r="AB25" s="16"/>
      <c r="AC25" s="16"/>
      <c r="AD25" s="16"/>
      <c r="AE25" s="16"/>
    </row>
    <row r="26">
      <c r="A26" s="20">
        <v>45071.897689861114</v>
      </c>
      <c r="B26" s="21" t="s">
        <v>25</v>
      </c>
      <c r="C26" s="21" t="s">
        <v>194</v>
      </c>
      <c r="D26" s="21">
        <v>1.0</v>
      </c>
      <c r="E26" s="21" t="s">
        <v>212</v>
      </c>
      <c r="F26" s="21">
        <v>190.0</v>
      </c>
      <c r="G26" s="21" t="s">
        <v>213</v>
      </c>
      <c r="H26" s="21" t="s">
        <v>214</v>
      </c>
      <c r="I26" s="21" t="s">
        <v>51</v>
      </c>
      <c r="J26" s="21" t="s">
        <v>51</v>
      </c>
      <c r="K26" s="21" t="s">
        <v>215</v>
      </c>
      <c r="L26" s="21" t="s">
        <v>34</v>
      </c>
      <c r="M26" s="21" t="s">
        <v>34</v>
      </c>
      <c r="N26" s="21" t="s">
        <v>34</v>
      </c>
      <c r="O26" s="21" t="s">
        <v>34</v>
      </c>
      <c r="P26" s="21" t="s">
        <v>36</v>
      </c>
      <c r="Q26" s="21" t="s">
        <v>36</v>
      </c>
      <c r="R26" s="21" t="s">
        <v>34</v>
      </c>
      <c r="S26" s="21" t="s">
        <v>35</v>
      </c>
      <c r="T26" s="21" t="s">
        <v>36</v>
      </c>
      <c r="U26" s="21" t="s">
        <v>36</v>
      </c>
      <c r="V26" s="21" t="s">
        <v>35</v>
      </c>
      <c r="W26" s="21" t="s">
        <v>36</v>
      </c>
      <c r="X26" s="21" t="s">
        <v>35</v>
      </c>
      <c r="Y26" s="21" t="s">
        <v>216</v>
      </c>
      <c r="Z26" s="22"/>
      <c r="AA26" s="22"/>
      <c r="AB26" s="22"/>
      <c r="AC26" s="22"/>
      <c r="AD26" s="22"/>
      <c r="AE26" s="22"/>
    </row>
    <row r="27">
      <c r="A27" s="20">
        <v>45076.681698333334</v>
      </c>
      <c r="B27" s="21" t="s">
        <v>25</v>
      </c>
      <c r="C27" s="21" t="s">
        <v>194</v>
      </c>
      <c r="D27" s="21">
        <v>1.0</v>
      </c>
      <c r="E27" s="21" t="s">
        <v>217</v>
      </c>
      <c r="F27" s="21">
        <v>190.0</v>
      </c>
      <c r="G27" s="21" t="s">
        <v>218</v>
      </c>
      <c r="H27" s="21" t="s">
        <v>219</v>
      </c>
      <c r="I27" s="21" t="s">
        <v>51</v>
      </c>
      <c r="J27" s="21" t="s">
        <v>51</v>
      </c>
      <c r="K27" s="21" t="s">
        <v>220</v>
      </c>
      <c r="L27" s="21" t="s">
        <v>34</v>
      </c>
      <c r="M27" s="21" t="s">
        <v>34</v>
      </c>
      <c r="N27" s="21" t="s">
        <v>34</v>
      </c>
      <c r="O27" s="21" t="s">
        <v>34</v>
      </c>
      <c r="P27" s="21" t="s">
        <v>104</v>
      </c>
      <c r="Q27" s="21" t="s">
        <v>104</v>
      </c>
      <c r="R27" s="21" t="s">
        <v>34</v>
      </c>
      <c r="S27" s="21" t="s">
        <v>104</v>
      </c>
      <c r="T27" s="21" t="s">
        <v>104</v>
      </c>
      <c r="U27" s="21" t="s">
        <v>104</v>
      </c>
      <c r="V27" s="21" t="s">
        <v>104</v>
      </c>
      <c r="W27" s="21" t="s">
        <v>104</v>
      </c>
      <c r="X27" s="21" t="s">
        <v>104</v>
      </c>
      <c r="Y27" s="21" t="s">
        <v>221</v>
      </c>
      <c r="Z27" s="22"/>
      <c r="AA27" s="22"/>
      <c r="AB27" s="22"/>
      <c r="AC27" s="22"/>
      <c r="AD27" s="22"/>
      <c r="AE27" s="22"/>
    </row>
    <row r="29">
      <c r="C29" s="23">
        <f>COUNTIF(C3:C27,"Maíz")</f>
        <v>11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24.25"/>
    <col customWidth="1" min="3" max="3" width="24.75"/>
    <col customWidth="1" min="4" max="4" width="24.0"/>
    <col customWidth="1" min="5" max="5" width="23.88"/>
    <col customWidth="1" min="6" max="6" width="20.38"/>
    <col customWidth="1" min="7" max="7" width="23.88"/>
    <col customWidth="1" min="8" max="8" width="20.63"/>
    <col customWidth="1" min="9" max="9" width="23.88"/>
    <col customWidth="1" min="10" max="10" width="23.13"/>
  </cols>
  <sheetData>
    <row r="2">
      <c r="A2" s="24" t="s">
        <v>222</v>
      </c>
      <c r="B2" s="25">
        <v>2.0</v>
      </c>
      <c r="C2" s="24" t="s">
        <v>222</v>
      </c>
      <c r="D2" s="25">
        <v>3.0</v>
      </c>
      <c r="E2" s="24" t="s">
        <v>222</v>
      </c>
      <c r="F2" s="25">
        <v>4.0</v>
      </c>
      <c r="G2" s="24" t="s">
        <v>222</v>
      </c>
      <c r="H2" s="25">
        <v>5.0</v>
      </c>
      <c r="I2" s="24" t="s">
        <v>222</v>
      </c>
      <c r="J2" s="25">
        <v>6.0</v>
      </c>
    </row>
    <row r="3">
      <c r="A3" s="26" t="s">
        <v>223</v>
      </c>
      <c r="B3" s="27" t="s">
        <v>224</v>
      </c>
      <c r="C3" s="26" t="s">
        <v>223</v>
      </c>
      <c r="D3" s="28" t="s">
        <v>59</v>
      </c>
      <c r="E3" s="26" t="s">
        <v>223</v>
      </c>
      <c r="F3" s="28" t="s">
        <v>59</v>
      </c>
      <c r="G3" s="26" t="s">
        <v>223</v>
      </c>
      <c r="H3" s="28" t="s">
        <v>59</v>
      </c>
      <c r="I3" s="26" t="s">
        <v>223</v>
      </c>
      <c r="J3" s="28" t="s">
        <v>59</v>
      </c>
    </row>
    <row r="4">
      <c r="A4" s="26" t="s">
        <v>225</v>
      </c>
      <c r="B4" s="27" t="s">
        <v>40</v>
      </c>
      <c r="C4" s="26" t="s">
        <v>225</v>
      </c>
      <c r="D4" s="28" t="s">
        <v>226</v>
      </c>
      <c r="E4" s="26" t="s">
        <v>225</v>
      </c>
      <c r="F4" s="28" t="s">
        <v>226</v>
      </c>
      <c r="G4" s="26" t="s">
        <v>225</v>
      </c>
      <c r="H4" s="28" t="s">
        <v>226</v>
      </c>
      <c r="I4" s="26" t="s">
        <v>225</v>
      </c>
      <c r="J4" s="28" t="s">
        <v>226</v>
      </c>
    </row>
    <row r="5">
      <c r="A5" s="26" t="s">
        <v>227</v>
      </c>
      <c r="B5" s="27" t="s">
        <v>228</v>
      </c>
      <c r="C5" s="26" t="s">
        <v>227</v>
      </c>
      <c r="D5" s="28">
        <v>2.0</v>
      </c>
      <c r="E5" s="26" t="s">
        <v>227</v>
      </c>
      <c r="F5" s="28">
        <v>5.0</v>
      </c>
      <c r="G5" s="26" t="s">
        <v>227</v>
      </c>
      <c r="H5" s="28" t="s">
        <v>228</v>
      </c>
      <c r="I5" s="26" t="s">
        <v>227</v>
      </c>
      <c r="J5" s="28">
        <v>8.0</v>
      </c>
    </row>
    <row r="6">
      <c r="A6" s="26" t="s">
        <v>229</v>
      </c>
      <c r="B6" s="27" t="s">
        <v>230</v>
      </c>
      <c r="C6" s="26" t="s">
        <v>229</v>
      </c>
      <c r="D6" s="28" t="s">
        <v>231</v>
      </c>
      <c r="E6" s="26" t="s">
        <v>229</v>
      </c>
      <c r="F6" s="28" t="s">
        <v>231</v>
      </c>
      <c r="G6" s="26" t="s">
        <v>229</v>
      </c>
      <c r="H6" s="28" t="s">
        <v>231</v>
      </c>
      <c r="I6" s="26" t="s">
        <v>229</v>
      </c>
      <c r="J6" s="28" t="s">
        <v>231</v>
      </c>
    </row>
    <row r="7">
      <c r="A7" s="26" t="s">
        <v>232</v>
      </c>
      <c r="B7" s="27" t="s">
        <v>233</v>
      </c>
      <c r="C7" s="26" t="s">
        <v>232</v>
      </c>
      <c r="D7" s="28">
        <v>80.0</v>
      </c>
      <c r="E7" s="26" t="s">
        <v>232</v>
      </c>
      <c r="F7" s="28">
        <v>78.0</v>
      </c>
      <c r="G7" s="26" t="s">
        <v>232</v>
      </c>
      <c r="H7" s="28">
        <v>37.0</v>
      </c>
      <c r="I7" s="26" t="s">
        <v>232</v>
      </c>
      <c r="J7" s="28">
        <v>80.0</v>
      </c>
    </row>
    <row r="8">
      <c r="A8" s="29" t="s">
        <v>234</v>
      </c>
      <c r="B8" s="30" t="s">
        <v>235</v>
      </c>
      <c r="C8" s="29" t="s">
        <v>234</v>
      </c>
      <c r="D8" s="31" t="s">
        <v>236</v>
      </c>
      <c r="E8" s="29" t="s">
        <v>234</v>
      </c>
      <c r="F8" s="31" t="s">
        <v>237</v>
      </c>
      <c r="G8" s="29" t="s">
        <v>234</v>
      </c>
      <c r="H8" s="31" t="s">
        <v>70</v>
      </c>
      <c r="I8" s="29" t="s">
        <v>234</v>
      </c>
      <c r="J8" s="31" t="s">
        <v>238</v>
      </c>
    </row>
    <row r="9">
      <c r="A9" s="32"/>
      <c r="B9" s="32"/>
      <c r="C9" s="32"/>
      <c r="D9" s="32"/>
      <c r="E9" s="32"/>
      <c r="F9" s="32"/>
      <c r="G9" s="32"/>
      <c r="H9" s="32"/>
      <c r="I9" s="32"/>
      <c r="J9" s="32"/>
    </row>
    <row r="10">
      <c r="A10" s="29" t="s">
        <v>239</v>
      </c>
      <c r="B10" s="30">
        <v>3.0</v>
      </c>
      <c r="C10" s="29" t="s">
        <v>239</v>
      </c>
      <c r="D10" s="31">
        <v>2.0</v>
      </c>
      <c r="E10" s="29" t="s">
        <v>239</v>
      </c>
      <c r="F10" s="31" t="s">
        <v>240</v>
      </c>
      <c r="G10" s="29" t="s">
        <v>239</v>
      </c>
      <c r="H10" s="31" t="s">
        <v>241</v>
      </c>
      <c r="I10" s="29" t="s">
        <v>239</v>
      </c>
      <c r="J10" s="31">
        <v>2.0</v>
      </c>
    </row>
    <row r="11" ht="24.75" customHeight="1">
      <c r="A11" s="32"/>
      <c r="B11" s="32"/>
      <c r="C11" s="32"/>
      <c r="D11" s="32"/>
      <c r="E11" s="32"/>
      <c r="F11" s="32"/>
      <c r="G11" s="32"/>
      <c r="H11" s="32"/>
      <c r="I11" s="32"/>
      <c r="J11" s="32"/>
    </row>
    <row r="12" ht="34.5" customHeight="1">
      <c r="A12" s="26" t="s">
        <v>242</v>
      </c>
      <c r="B12" s="33"/>
      <c r="C12" s="26" t="s">
        <v>242</v>
      </c>
      <c r="D12" s="28" t="s">
        <v>243</v>
      </c>
      <c r="E12" s="26" t="s">
        <v>242</v>
      </c>
      <c r="F12" s="28" t="s">
        <v>64</v>
      </c>
      <c r="G12" s="26" t="s">
        <v>242</v>
      </c>
      <c r="H12" s="28" t="s">
        <v>244</v>
      </c>
      <c r="I12" s="26" t="s">
        <v>242</v>
      </c>
      <c r="J12" s="28" t="s">
        <v>245</v>
      </c>
    </row>
    <row r="13">
      <c r="A13" s="26" t="s">
        <v>246</v>
      </c>
      <c r="B13" s="27" t="s">
        <v>231</v>
      </c>
      <c r="C13" s="26" t="s">
        <v>246</v>
      </c>
      <c r="D13" s="28" t="s">
        <v>56</v>
      </c>
      <c r="E13" s="26" t="s">
        <v>246</v>
      </c>
      <c r="F13" s="28" t="s">
        <v>56</v>
      </c>
      <c r="G13" s="26" t="s">
        <v>246</v>
      </c>
      <c r="H13" s="28" t="s">
        <v>56</v>
      </c>
      <c r="I13" s="26" t="s">
        <v>246</v>
      </c>
      <c r="J13" s="28" t="s">
        <v>56</v>
      </c>
    </row>
    <row r="14">
      <c r="A14" s="29" t="s">
        <v>247</v>
      </c>
      <c r="B14" s="30">
        <v>3.0</v>
      </c>
      <c r="C14" s="29" t="s">
        <v>248</v>
      </c>
      <c r="D14" s="31">
        <v>4.0</v>
      </c>
      <c r="E14" s="29" t="s">
        <v>248</v>
      </c>
      <c r="F14" s="34">
        <v>45050.0</v>
      </c>
      <c r="G14" s="29" t="s">
        <v>248</v>
      </c>
      <c r="H14" s="34">
        <v>45049.0</v>
      </c>
      <c r="I14" s="29" t="s">
        <v>248</v>
      </c>
      <c r="J14" s="34">
        <v>45051.0</v>
      </c>
    </row>
    <row r="15">
      <c r="A15" s="32"/>
      <c r="B15" s="32"/>
      <c r="C15" s="32"/>
      <c r="D15" s="32"/>
      <c r="E15" s="32"/>
      <c r="F15" s="32"/>
      <c r="G15" s="32"/>
      <c r="H15" s="32"/>
      <c r="I15" s="32"/>
      <c r="J15" s="32"/>
    </row>
    <row r="16">
      <c r="A16" s="26" t="s">
        <v>249</v>
      </c>
      <c r="B16" s="27">
        <v>18.0</v>
      </c>
      <c r="C16" s="26" t="s">
        <v>249</v>
      </c>
      <c r="D16" s="27">
        <v>19.0</v>
      </c>
      <c r="E16" s="26" t="s">
        <v>249</v>
      </c>
      <c r="F16" s="27">
        <v>18.0</v>
      </c>
      <c r="G16" s="26" t="s">
        <v>249</v>
      </c>
      <c r="H16" s="27">
        <v>21.0</v>
      </c>
      <c r="I16" s="26" t="s">
        <v>249</v>
      </c>
      <c r="J16" s="27">
        <v>18.0</v>
      </c>
    </row>
    <row r="17">
      <c r="A17" s="26" t="s">
        <v>250</v>
      </c>
      <c r="B17" s="27">
        <v>36.0</v>
      </c>
      <c r="C17" s="26" t="s">
        <v>250</v>
      </c>
      <c r="D17" s="27">
        <v>37.0</v>
      </c>
      <c r="E17" s="26" t="s">
        <v>250</v>
      </c>
      <c r="F17" s="27">
        <v>37.0</v>
      </c>
      <c r="G17" s="26" t="s">
        <v>250</v>
      </c>
      <c r="H17" s="27">
        <v>40.0</v>
      </c>
      <c r="I17" s="26" t="s">
        <v>250</v>
      </c>
      <c r="J17" s="27">
        <v>35.0</v>
      </c>
    </row>
    <row r="18">
      <c r="A18" s="24" t="s">
        <v>222</v>
      </c>
      <c r="B18" s="25">
        <v>7.0</v>
      </c>
      <c r="C18" s="24" t="s">
        <v>222</v>
      </c>
      <c r="D18" s="25">
        <v>8.0</v>
      </c>
      <c r="E18" s="24" t="s">
        <v>222</v>
      </c>
      <c r="F18" s="25">
        <v>9.0</v>
      </c>
      <c r="G18" s="24" t="s">
        <v>222</v>
      </c>
      <c r="H18" s="25">
        <v>10.0</v>
      </c>
      <c r="I18" s="24" t="s">
        <v>222</v>
      </c>
      <c r="J18" s="25">
        <v>11.0</v>
      </c>
    </row>
    <row r="19">
      <c r="A19" s="26" t="s">
        <v>223</v>
      </c>
      <c r="B19" s="28" t="s">
        <v>59</v>
      </c>
      <c r="C19" s="26" t="s">
        <v>223</v>
      </c>
      <c r="D19" s="28" t="s">
        <v>59</v>
      </c>
      <c r="E19" s="26" t="s">
        <v>223</v>
      </c>
      <c r="F19" s="28" t="s">
        <v>59</v>
      </c>
      <c r="G19" s="26" t="s">
        <v>223</v>
      </c>
      <c r="H19" s="28" t="s">
        <v>251</v>
      </c>
      <c r="I19" s="26" t="s">
        <v>223</v>
      </c>
      <c r="J19" s="28" t="s">
        <v>252</v>
      </c>
    </row>
    <row r="20">
      <c r="A20" s="26" t="s">
        <v>225</v>
      </c>
      <c r="B20" s="28" t="s">
        <v>226</v>
      </c>
      <c r="C20" s="26" t="s">
        <v>225</v>
      </c>
      <c r="D20" s="28" t="s">
        <v>226</v>
      </c>
      <c r="E20" s="26" t="s">
        <v>225</v>
      </c>
      <c r="F20" s="28" t="s">
        <v>226</v>
      </c>
      <c r="G20" s="26" t="s">
        <v>225</v>
      </c>
      <c r="H20" s="28" t="s">
        <v>226</v>
      </c>
      <c r="I20" s="26" t="s">
        <v>225</v>
      </c>
      <c r="J20" s="28" t="s">
        <v>226</v>
      </c>
    </row>
    <row r="21">
      <c r="A21" s="26" t="s">
        <v>227</v>
      </c>
      <c r="B21" s="28">
        <v>1.0</v>
      </c>
      <c r="C21" s="26" t="s">
        <v>227</v>
      </c>
      <c r="D21" s="28">
        <v>6.0</v>
      </c>
      <c r="E21" s="26" t="s">
        <v>227</v>
      </c>
      <c r="F21" s="28" t="s">
        <v>228</v>
      </c>
      <c r="G21" s="26" t="s">
        <v>227</v>
      </c>
      <c r="H21" s="28">
        <v>25.0</v>
      </c>
      <c r="I21" s="26" t="s">
        <v>227</v>
      </c>
      <c r="J21" s="35">
        <v>45047.0</v>
      </c>
    </row>
    <row r="22">
      <c r="A22" s="26" t="s">
        <v>229</v>
      </c>
      <c r="B22" s="28" t="s">
        <v>231</v>
      </c>
      <c r="C22" s="26" t="s">
        <v>229</v>
      </c>
      <c r="D22" s="28" t="s">
        <v>231</v>
      </c>
      <c r="E22" s="26" t="s">
        <v>229</v>
      </c>
      <c r="F22" s="28" t="s">
        <v>231</v>
      </c>
      <c r="G22" s="26" t="s">
        <v>229</v>
      </c>
      <c r="H22" s="28" t="s">
        <v>100</v>
      </c>
      <c r="I22" s="26" t="s">
        <v>229</v>
      </c>
      <c r="J22" s="28" t="s">
        <v>108</v>
      </c>
    </row>
    <row r="23">
      <c r="A23" s="26" t="s">
        <v>232</v>
      </c>
      <c r="B23" s="28">
        <v>83.0</v>
      </c>
      <c r="C23" s="26" t="s">
        <v>232</v>
      </c>
      <c r="D23" s="28">
        <v>74.0</v>
      </c>
      <c r="E23" s="26" t="s">
        <v>232</v>
      </c>
      <c r="F23" s="28">
        <v>22.0</v>
      </c>
      <c r="G23" s="26" t="s">
        <v>232</v>
      </c>
      <c r="H23" s="28">
        <v>80.0</v>
      </c>
      <c r="I23" s="26" t="s">
        <v>232</v>
      </c>
      <c r="J23" s="28">
        <v>85.0</v>
      </c>
    </row>
    <row r="24">
      <c r="A24" s="29" t="s">
        <v>234</v>
      </c>
      <c r="B24" s="31" t="s">
        <v>253</v>
      </c>
      <c r="C24" s="29" t="s">
        <v>234</v>
      </c>
      <c r="D24" s="31" t="s">
        <v>254</v>
      </c>
      <c r="E24" s="29" t="s">
        <v>234</v>
      </c>
      <c r="F24" s="31" t="s">
        <v>255</v>
      </c>
      <c r="G24" s="29" t="s">
        <v>234</v>
      </c>
      <c r="H24" s="31" t="s">
        <v>256</v>
      </c>
      <c r="I24" s="29" t="s">
        <v>234</v>
      </c>
      <c r="J24" s="31" t="s">
        <v>237</v>
      </c>
    </row>
    <row r="25">
      <c r="A25" s="32"/>
      <c r="B25" s="32"/>
      <c r="C25" s="32"/>
      <c r="D25" s="32"/>
      <c r="E25" s="32"/>
      <c r="F25" s="32"/>
      <c r="G25" s="32"/>
      <c r="H25" s="32"/>
      <c r="I25" s="32"/>
      <c r="J25" s="32"/>
    </row>
    <row r="26">
      <c r="A26" s="29" t="s">
        <v>239</v>
      </c>
      <c r="B26" s="31">
        <v>2.0</v>
      </c>
      <c r="C26" s="29" t="s">
        <v>239</v>
      </c>
      <c r="D26" s="31">
        <v>2.0</v>
      </c>
      <c r="E26" s="29" t="s">
        <v>239</v>
      </c>
      <c r="F26" s="31">
        <v>1.0</v>
      </c>
      <c r="G26" s="29" t="s">
        <v>239</v>
      </c>
      <c r="H26" s="31" t="s">
        <v>257</v>
      </c>
      <c r="I26" s="29" t="s">
        <v>239</v>
      </c>
      <c r="J26" s="31">
        <v>2.0</v>
      </c>
    </row>
    <row r="27">
      <c r="A27" s="32"/>
      <c r="B27" s="32"/>
      <c r="C27" s="32"/>
      <c r="D27" s="32"/>
      <c r="E27" s="32"/>
      <c r="F27" s="32"/>
      <c r="G27" s="32"/>
      <c r="H27" s="32"/>
      <c r="I27" s="32"/>
      <c r="J27" s="32"/>
    </row>
    <row r="28">
      <c r="A28" s="26" t="s">
        <v>242</v>
      </c>
      <c r="B28" s="28" t="s">
        <v>258</v>
      </c>
      <c r="C28" s="26" t="s">
        <v>242</v>
      </c>
      <c r="D28" s="35">
        <v>45049.0</v>
      </c>
      <c r="E28" s="26" t="s">
        <v>242</v>
      </c>
      <c r="F28" s="28" t="s">
        <v>258</v>
      </c>
      <c r="G28" s="26" t="s">
        <v>242</v>
      </c>
      <c r="H28" s="28" t="s">
        <v>51</v>
      </c>
      <c r="I28" s="26" t="s">
        <v>242</v>
      </c>
      <c r="J28" s="28" t="s">
        <v>259</v>
      </c>
    </row>
    <row r="29">
      <c r="A29" s="26" t="s">
        <v>246</v>
      </c>
      <c r="B29" s="28" t="s">
        <v>56</v>
      </c>
      <c r="C29" s="26" t="s">
        <v>246</v>
      </c>
      <c r="D29" s="28" t="s">
        <v>260</v>
      </c>
      <c r="E29" s="26" t="s">
        <v>246</v>
      </c>
      <c r="F29" s="28" t="s">
        <v>56</v>
      </c>
      <c r="G29" s="26" t="s">
        <v>246</v>
      </c>
      <c r="H29" s="28" t="s">
        <v>259</v>
      </c>
      <c r="I29" s="26" t="s">
        <v>246</v>
      </c>
      <c r="J29" s="28" t="s">
        <v>113</v>
      </c>
    </row>
    <row r="30">
      <c r="A30" s="29" t="s">
        <v>248</v>
      </c>
      <c r="B30" s="34">
        <v>45049.0</v>
      </c>
      <c r="C30" s="29" t="s">
        <v>248</v>
      </c>
      <c r="D30" s="31">
        <v>6.0</v>
      </c>
      <c r="E30" s="29" t="s">
        <v>248</v>
      </c>
      <c r="F30" s="31">
        <v>3.0</v>
      </c>
      <c r="G30" s="29" t="s">
        <v>248</v>
      </c>
      <c r="H30" s="31" t="s">
        <v>257</v>
      </c>
      <c r="I30" s="29" t="s">
        <v>248</v>
      </c>
      <c r="J30" s="31">
        <v>1.0</v>
      </c>
    </row>
    <row r="31">
      <c r="A31" s="32"/>
      <c r="B31" s="32"/>
      <c r="C31" s="32"/>
      <c r="D31" s="32"/>
      <c r="E31" s="32"/>
      <c r="F31" s="32"/>
      <c r="G31" s="32"/>
      <c r="H31" s="32"/>
      <c r="I31" s="32"/>
      <c r="J31" s="32"/>
    </row>
    <row r="32">
      <c r="A32" s="26" t="s">
        <v>249</v>
      </c>
      <c r="B32" s="27">
        <v>17.0</v>
      </c>
      <c r="C32" s="26" t="s">
        <v>249</v>
      </c>
      <c r="D32" s="27">
        <v>17.0</v>
      </c>
      <c r="E32" s="26" t="s">
        <v>249</v>
      </c>
      <c r="F32" s="27">
        <v>19.0</v>
      </c>
      <c r="G32" s="26" t="s">
        <v>249</v>
      </c>
      <c r="H32" s="27">
        <v>16.0</v>
      </c>
      <c r="I32" s="26" t="s">
        <v>249</v>
      </c>
      <c r="J32" s="27">
        <v>19.0</v>
      </c>
    </row>
    <row r="33">
      <c r="A33" s="26" t="s">
        <v>250</v>
      </c>
      <c r="B33" s="27">
        <v>38.0</v>
      </c>
      <c r="C33" s="26" t="s">
        <v>250</v>
      </c>
      <c r="D33" s="27">
        <v>36.0</v>
      </c>
      <c r="E33" s="26" t="s">
        <v>250</v>
      </c>
      <c r="F33" s="27">
        <v>37.0</v>
      </c>
      <c r="G33" s="26" t="s">
        <v>250</v>
      </c>
      <c r="H33" s="3">
        <v>30.0</v>
      </c>
      <c r="I33" s="26" t="s">
        <v>250</v>
      </c>
      <c r="J33" s="27">
        <v>30.0</v>
      </c>
    </row>
    <row r="34">
      <c r="A34" s="24" t="s">
        <v>222</v>
      </c>
      <c r="B34" s="25">
        <v>12.0</v>
      </c>
      <c r="C34" s="24" t="s">
        <v>222</v>
      </c>
      <c r="D34" s="25">
        <v>13.0</v>
      </c>
      <c r="E34" s="24" t="s">
        <v>222</v>
      </c>
      <c r="F34" s="25">
        <v>14.0</v>
      </c>
      <c r="G34" s="24" t="s">
        <v>222</v>
      </c>
      <c r="H34" s="25">
        <v>15.0</v>
      </c>
      <c r="I34" s="24" t="s">
        <v>222</v>
      </c>
      <c r="J34" s="25">
        <v>16.0</v>
      </c>
    </row>
    <row r="35">
      <c r="A35" s="26" t="s">
        <v>223</v>
      </c>
      <c r="B35" s="27" t="s">
        <v>261</v>
      </c>
      <c r="C35" s="26" t="s">
        <v>223</v>
      </c>
      <c r="D35" s="28" t="s">
        <v>252</v>
      </c>
      <c r="E35" s="26" t="s">
        <v>223</v>
      </c>
      <c r="F35" s="28" t="s">
        <v>262</v>
      </c>
      <c r="G35" s="26" t="s">
        <v>223</v>
      </c>
      <c r="H35" s="28" t="s">
        <v>137</v>
      </c>
      <c r="I35" s="26" t="s">
        <v>223</v>
      </c>
      <c r="J35" s="28" t="s">
        <v>263</v>
      </c>
    </row>
    <row r="36">
      <c r="A36" s="26" t="s">
        <v>225</v>
      </c>
      <c r="B36" s="27" t="s">
        <v>226</v>
      </c>
      <c r="C36" s="26" t="s">
        <v>225</v>
      </c>
      <c r="D36" s="28" t="s">
        <v>226</v>
      </c>
      <c r="E36" s="26" t="s">
        <v>225</v>
      </c>
      <c r="F36" s="28" t="s">
        <v>226</v>
      </c>
      <c r="G36" s="26" t="s">
        <v>225</v>
      </c>
      <c r="H36" s="28" t="s">
        <v>226</v>
      </c>
      <c r="I36" s="26" t="s">
        <v>225</v>
      </c>
      <c r="J36" s="28" t="s">
        <v>226</v>
      </c>
    </row>
    <row r="37">
      <c r="A37" s="26" t="s">
        <v>227</v>
      </c>
      <c r="B37" s="27" t="s">
        <v>228</v>
      </c>
      <c r="C37" s="26" t="s">
        <v>227</v>
      </c>
      <c r="D37" s="28">
        <v>1.0</v>
      </c>
      <c r="E37" s="26" t="s">
        <v>227</v>
      </c>
      <c r="F37" s="28" t="s">
        <v>228</v>
      </c>
      <c r="G37" s="26" t="s">
        <v>227</v>
      </c>
      <c r="H37" s="28">
        <v>1.0</v>
      </c>
      <c r="I37" s="26" t="s">
        <v>227</v>
      </c>
      <c r="J37" s="28">
        <v>1.0</v>
      </c>
    </row>
    <row r="38">
      <c r="A38" s="26" t="s">
        <v>229</v>
      </c>
      <c r="B38" s="27" t="s">
        <v>231</v>
      </c>
      <c r="C38" s="26" t="s">
        <v>229</v>
      </c>
      <c r="D38" s="28" t="s">
        <v>122</v>
      </c>
      <c r="E38" s="26" t="s">
        <v>229</v>
      </c>
      <c r="F38" s="28" t="s">
        <v>130</v>
      </c>
      <c r="G38" s="26" t="s">
        <v>229</v>
      </c>
      <c r="H38" s="28" t="s">
        <v>264</v>
      </c>
      <c r="I38" s="26" t="s">
        <v>229</v>
      </c>
      <c r="J38" s="28" t="s">
        <v>231</v>
      </c>
    </row>
    <row r="39">
      <c r="A39" s="26" t="s">
        <v>232</v>
      </c>
      <c r="B39" s="27">
        <v>90.0</v>
      </c>
      <c r="C39" s="26" t="s">
        <v>232</v>
      </c>
      <c r="D39" s="28">
        <v>65.0</v>
      </c>
      <c r="E39" s="26" t="s">
        <v>232</v>
      </c>
      <c r="F39" s="28">
        <v>75.0</v>
      </c>
      <c r="G39" s="26" t="s">
        <v>232</v>
      </c>
      <c r="H39" s="28">
        <v>95.0</v>
      </c>
      <c r="I39" s="26" t="s">
        <v>232</v>
      </c>
      <c r="J39" s="28">
        <v>60.0</v>
      </c>
    </row>
    <row r="40">
      <c r="A40" s="29" t="s">
        <v>234</v>
      </c>
      <c r="B40" s="30" t="s">
        <v>265</v>
      </c>
      <c r="C40" s="29" t="s">
        <v>234</v>
      </c>
      <c r="D40" s="31" t="s">
        <v>266</v>
      </c>
      <c r="E40" s="29" t="s">
        <v>234</v>
      </c>
      <c r="F40" s="31" t="s">
        <v>267</v>
      </c>
      <c r="G40" s="29" t="s">
        <v>234</v>
      </c>
      <c r="H40" s="31" t="s">
        <v>268</v>
      </c>
      <c r="I40" s="29" t="s">
        <v>234</v>
      </c>
      <c r="J40" s="31" t="s">
        <v>269</v>
      </c>
    </row>
    <row r="41">
      <c r="A41" s="32"/>
      <c r="B41" s="32"/>
      <c r="C41" s="32"/>
      <c r="D41" s="32"/>
      <c r="E41" s="32"/>
      <c r="F41" s="32"/>
      <c r="G41" s="32"/>
      <c r="H41" s="32"/>
      <c r="I41" s="32"/>
      <c r="J41" s="32"/>
    </row>
    <row r="42">
      <c r="A42" s="29" t="s">
        <v>239</v>
      </c>
      <c r="B42" s="30">
        <v>3.0</v>
      </c>
      <c r="C42" s="29" t="s">
        <v>239</v>
      </c>
      <c r="D42" s="31">
        <v>2.0</v>
      </c>
      <c r="E42" s="29" t="s">
        <v>239</v>
      </c>
      <c r="F42" s="31">
        <v>2.0</v>
      </c>
      <c r="G42" s="29" t="s">
        <v>239</v>
      </c>
      <c r="H42" s="31">
        <v>1.0</v>
      </c>
      <c r="I42" s="29" t="s">
        <v>239</v>
      </c>
      <c r="J42" s="31">
        <v>3.0</v>
      </c>
    </row>
    <row r="43">
      <c r="A43" s="32"/>
      <c r="B43" s="32"/>
      <c r="C43" s="32"/>
      <c r="D43" s="32"/>
      <c r="E43" s="32"/>
      <c r="F43" s="32"/>
      <c r="G43" s="32"/>
      <c r="H43" s="32"/>
      <c r="I43" s="32"/>
      <c r="J43" s="32"/>
    </row>
    <row r="44">
      <c r="A44" s="26" t="s">
        <v>242</v>
      </c>
      <c r="B44" s="27" t="s">
        <v>270</v>
      </c>
      <c r="C44" s="26" t="s">
        <v>242</v>
      </c>
      <c r="D44" s="28" t="s">
        <v>271</v>
      </c>
      <c r="E44" s="26" t="s">
        <v>242</v>
      </c>
      <c r="F44" s="28" t="s">
        <v>272</v>
      </c>
      <c r="G44" s="26" t="s">
        <v>242</v>
      </c>
      <c r="H44" s="28" t="s">
        <v>112</v>
      </c>
      <c r="I44" s="26" t="s">
        <v>242</v>
      </c>
      <c r="J44" s="28" t="s">
        <v>273</v>
      </c>
    </row>
    <row r="45">
      <c r="A45" s="26" t="s">
        <v>246</v>
      </c>
      <c r="B45" s="27" t="s">
        <v>270</v>
      </c>
      <c r="C45" s="26" t="s">
        <v>246</v>
      </c>
      <c r="D45" s="28" t="s">
        <v>274</v>
      </c>
      <c r="E45" s="26" t="s">
        <v>246</v>
      </c>
      <c r="F45" s="28" t="s">
        <v>56</v>
      </c>
      <c r="G45" s="26" t="s">
        <v>246</v>
      </c>
      <c r="H45" s="28" t="s">
        <v>112</v>
      </c>
      <c r="I45" s="26" t="s">
        <v>246</v>
      </c>
      <c r="J45" s="28" t="s">
        <v>56</v>
      </c>
    </row>
    <row r="46">
      <c r="A46" s="29" t="s">
        <v>248</v>
      </c>
      <c r="B46" s="30">
        <v>1.0</v>
      </c>
      <c r="C46" s="29" t="s">
        <v>248</v>
      </c>
      <c r="D46" s="31">
        <v>1.0</v>
      </c>
      <c r="E46" s="29" t="s">
        <v>248</v>
      </c>
      <c r="F46" s="31">
        <v>2.0</v>
      </c>
      <c r="G46" s="29" t="s">
        <v>248</v>
      </c>
      <c r="H46" s="31">
        <v>1.0</v>
      </c>
      <c r="I46" s="29" t="s">
        <v>248</v>
      </c>
      <c r="J46" s="31">
        <v>3.0</v>
      </c>
    </row>
    <row r="47">
      <c r="A47" s="32"/>
      <c r="B47" s="32"/>
      <c r="C47" s="32"/>
      <c r="D47" s="32"/>
      <c r="E47" s="32"/>
      <c r="F47" s="32"/>
      <c r="G47" s="32"/>
      <c r="H47" s="32"/>
      <c r="I47" s="32"/>
      <c r="J47" s="32"/>
    </row>
    <row r="48">
      <c r="A48" s="26" t="s">
        <v>249</v>
      </c>
      <c r="B48" s="27">
        <v>18.0</v>
      </c>
      <c r="C48" s="26" t="s">
        <v>249</v>
      </c>
      <c r="D48" s="27">
        <v>19.0</v>
      </c>
      <c r="E48" s="26" t="s">
        <v>249</v>
      </c>
      <c r="F48" s="27">
        <v>20.0</v>
      </c>
      <c r="G48" s="26" t="s">
        <v>249</v>
      </c>
      <c r="H48" s="27">
        <v>13.0</v>
      </c>
      <c r="I48" s="26" t="s">
        <v>249</v>
      </c>
      <c r="J48" s="27">
        <v>20.0</v>
      </c>
    </row>
    <row r="49">
      <c r="A49" s="26" t="s">
        <v>250</v>
      </c>
      <c r="B49" s="27">
        <v>32.0</v>
      </c>
      <c r="C49" s="26" t="s">
        <v>250</v>
      </c>
      <c r="D49" s="27">
        <v>34.0</v>
      </c>
      <c r="E49" s="26" t="s">
        <v>250</v>
      </c>
      <c r="F49" s="27">
        <v>32.0</v>
      </c>
      <c r="G49" s="26" t="s">
        <v>250</v>
      </c>
      <c r="H49" s="27">
        <v>16.0</v>
      </c>
      <c r="I49" s="26" t="s">
        <v>250</v>
      </c>
      <c r="J49" s="27">
        <v>32.0</v>
      </c>
    </row>
    <row r="50">
      <c r="A50" s="24" t="s">
        <v>222</v>
      </c>
      <c r="B50" s="25">
        <v>17.0</v>
      </c>
      <c r="C50" s="24" t="s">
        <v>222</v>
      </c>
      <c r="D50" s="25">
        <v>18.0</v>
      </c>
      <c r="E50" s="24" t="s">
        <v>222</v>
      </c>
      <c r="F50" s="25">
        <v>19.0</v>
      </c>
      <c r="G50" s="24" t="s">
        <v>222</v>
      </c>
      <c r="H50" s="25">
        <v>20.0</v>
      </c>
      <c r="I50" s="24" t="s">
        <v>222</v>
      </c>
      <c r="J50" s="25">
        <v>21.0</v>
      </c>
    </row>
    <row r="51">
      <c r="A51" s="26" t="s">
        <v>223</v>
      </c>
      <c r="B51" s="27" t="s">
        <v>275</v>
      </c>
      <c r="C51" s="26" t="s">
        <v>223</v>
      </c>
      <c r="D51" s="27" t="s">
        <v>276</v>
      </c>
      <c r="E51" s="26" t="s">
        <v>223</v>
      </c>
      <c r="F51" s="27" t="s">
        <v>277</v>
      </c>
      <c r="G51" s="26" t="s">
        <v>223</v>
      </c>
      <c r="H51" s="28" t="s">
        <v>59</v>
      </c>
      <c r="I51" s="26" t="s">
        <v>223</v>
      </c>
      <c r="J51" s="28" t="s">
        <v>59</v>
      </c>
    </row>
    <row r="52">
      <c r="A52" s="26" t="s">
        <v>225</v>
      </c>
      <c r="B52" s="27" t="s">
        <v>226</v>
      </c>
      <c r="C52" s="26" t="s">
        <v>225</v>
      </c>
      <c r="D52" s="27" t="s">
        <v>226</v>
      </c>
      <c r="E52" s="26" t="s">
        <v>225</v>
      </c>
      <c r="F52" s="27" t="s">
        <v>278</v>
      </c>
      <c r="G52" s="26" t="s">
        <v>225</v>
      </c>
      <c r="H52" s="28" t="s">
        <v>279</v>
      </c>
      <c r="I52" s="26" t="s">
        <v>225</v>
      </c>
      <c r="J52" s="28" t="s">
        <v>279</v>
      </c>
    </row>
    <row r="53">
      <c r="A53" s="26" t="s">
        <v>227</v>
      </c>
      <c r="B53" s="27" t="s">
        <v>228</v>
      </c>
      <c r="C53" s="26" t="s">
        <v>227</v>
      </c>
      <c r="D53" s="27">
        <v>1.0</v>
      </c>
      <c r="E53" s="26" t="s">
        <v>227</v>
      </c>
      <c r="F53" s="36">
        <v>45047.0</v>
      </c>
      <c r="G53" s="26" t="s">
        <v>227</v>
      </c>
      <c r="H53" s="28" t="s">
        <v>228</v>
      </c>
      <c r="I53" s="26" t="s">
        <v>227</v>
      </c>
      <c r="J53" s="28">
        <v>1.0</v>
      </c>
    </row>
    <row r="54">
      <c r="A54" s="26" t="s">
        <v>229</v>
      </c>
      <c r="B54" s="27" t="s">
        <v>231</v>
      </c>
      <c r="C54" s="26" t="s">
        <v>229</v>
      </c>
      <c r="D54" s="27" t="s">
        <v>231</v>
      </c>
      <c r="E54" s="26" t="s">
        <v>229</v>
      </c>
      <c r="F54" s="27" t="s">
        <v>280</v>
      </c>
      <c r="G54" s="26" t="s">
        <v>229</v>
      </c>
      <c r="H54" s="28" t="s">
        <v>231</v>
      </c>
      <c r="I54" s="26" t="s">
        <v>229</v>
      </c>
      <c r="J54" s="28" t="s">
        <v>231</v>
      </c>
    </row>
    <row r="55">
      <c r="A55" s="26" t="s">
        <v>232</v>
      </c>
      <c r="B55" s="27">
        <v>78.0</v>
      </c>
      <c r="C55" s="26" t="s">
        <v>232</v>
      </c>
      <c r="D55" s="27">
        <v>70.0</v>
      </c>
      <c r="E55" s="26" t="s">
        <v>232</v>
      </c>
      <c r="F55" s="27">
        <v>50.0</v>
      </c>
      <c r="G55" s="26" t="s">
        <v>232</v>
      </c>
      <c r="H55" s="28">
        <v>37.0</v>
      </c>
      <c r="I55" s="26" t="s">
        <v>232</v>
      </c>
      <c r="J55" s="28">
        <v>83.0</v>
      </c>
    </row>
    <row r="56">
      <c r="A56" s="29" t="s">
        <v>234</v>
      </c>
      <c r="B56" s="30" t="s">
        <v>281</v>
      </c>
      <c r="C56" s="29" t="s">
        <v>234</v>
      </c>
      <c r="D56" s="30" t="s">
        <v>282</v>
      </c>
      <c r="E56" s="29" t="s">
        <v>234</v>
      </c>
      <c r="F56" s="30" t="s">
        <v>283</v>
      </c>
      <c r="G56" s="29" t="s">
        <v>234</v>
      </c>
      <c r="H56" s="31" t="s">
        <v>284</v>
      </c>
      <c r="I56" s="29" t="s">
        <v>234</v>
      </c>
      <c r="J56" s="31" t="s">
        <v>285</v>
      </c>
    </row>
    <row r="57" ht="22.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</row>
    <row r="58">
      <c r="A58" s="29" t="s">
        <v>239</v>
      </c>
      <c r="B58" s="30">
        <v>2.0</v>
      </c>
      <c r="C58" s="29" t="s">
        <v>239</v>
      </c>
      <c r="D58" s="30">
        <v>2.0</v>
      </c>
      <c r="E58" s="29" t="s">
        <v>239</v>
      </c>
      <c r="F58" s="30">
        <v>1.0</v>
      </c>
      <c r="G58" s="29" t="s">
        <v>239</v>
      </c>
      <c r="H58" s="34">
        <v>45047.0</v>
      </c>
      <c r="I58" s="29" t="s">
        <v>239</v>
      </c>
      <c r="J58" s="31">
        <v>2.0</v>
      </c>
    </row>
    <row r="59">
      <c r="A59" s="32"/>
      <c r="B59" s="32"/>
      <c r="C59" s="32"/>
      <c r="D59" s="32"/>
      <c r="E59" s="32"/>
      <c r="F59" s="32"/>
      <c r="G59" s="32"/>
      <c r="H59" s="32"/>
      <c r="I59" s="32"/>
      <c r="J59" s="32"/>
    </row>
    <row r="60">
      <c r="A60" s="26" t="s">
        <v>242</v>
      </c>
      <c r="B60" s="27" t="s">
        <v>155</v>
      </c>
      <c r="C60" s="26" t="s">
        <v>242</v>
      </c>
      <c r="D60" s="27" t="s">
        <v>112</v>
      </c>
      <c r="E60" s="26" t="s">
        <v>242</v>
      </c>
      <c r="F60" s="27" t="s">
        <v>286</v>
      </c>
      <c r="G60" s="26" t="s">
        <v>242</v>
      </c>
      <c r="H60" s="28" t="s">
        <v>178</v>
      </c>
      <c r="I60" s="26" t="s">
        <v>242</v>
      </c>
      <c r="J60" s="28" t="s">
        <v>287</v>
      </c>
    </row>
    <row r="61">
      <c r="A61" s="26" t="s">
        <v>246</v>
      </c>
      <c r="B61" s="27" t="s">
        <v>156</v>
      </c>
      <c r="C61" s="26" t="s">
        <v>246</v>
      </c>
      <c r="D61" s="27" t="s">
        <v>162</v>
      </c>
      <c r="E61" s="26" t="s">
        <v>246</v>
      </c>
      <c r="F61" s="27" t="s">
        <v>56</v>
      </c>
      <c r="G61" s="26" t="s">
        <v>246</v>
      </c>
      <c r="H61" s="28" t="s">
        <v>56</v>
      </c>
      <c r="I61" s="26" t="s">
        <v>246</v>
      </c>
      <c r="J61" s="28" t="s">
        <v>56</v>
      </c>
    </row>
    <row r="62">
      <c r="A62" s="29" t="s">
        <v>248</v>
      </c>
      <c r="B62" s="30">
        <v>3.0</v>
      </c>
      <c r="C62" s="29" t="s">
        <v>248</v>
      </c>
      <c r="D62" s="30">
        <v>2.0</v>
      </c>
      <c r="E62" s="29" t="s">
        <v>248</v>
      </c>
      <c r="F62" s="30" t="s">
        <v>257</v>
      </c>
      <c r="G62" s="29" t="s">
        <v>248</v>
      </c>
      <c r="H62" s="31">
        <v>1.0</v>
      </c>
      <c r="I62" s="29" t="s">
        <v>248</v>
      </c>
      <c r="J62" s="34">
        <v>45049.0</v>
      </c>
    </row>
    <row r="63">
      <c r="A63" s="32"/>
      <c r="B63" s="32"/>
      <c r="C63" s="32"/>
      <c r="D63" s="32"/>
      <c r="E63" s="32"/>
      <c r="F63" s="32"/>
      <c r="G63" s="32"/>
      <c r="H63" s="32"/>
      <c r="I63" s="32"/>
      <c r="J63" s="32"/>
    </row>
    <row r="64">
      <c r="A64" s="26" t="s">
        <v>249</v>
      </c>
      <c r="B64" s="27">
        <v>15.0</v>
      </c>
      <c r="C64" s="26" t="s">
        <v>249</v>
      </c>
      <c r="D64" s="27">
        <v>17.0</v>
      </c>
      <c r="E64" s="26" t="s">
        <v>249</v>
      </c>
      <c r="F64" s="27">
        <v>21.0</v>
      </c>
      <c r="G64" s="26" t="s">
        <v>249</v>
      </c>
      <c r="H64" s="27">
        <v>16.0</v>
      </c>
      <c r="I64" s="26" t="s">
        <v>249</v>
      </c>
      <c r="J64" s="27">
        <v>17.0</v>
      </c>
    </row>
    <row r="65">
      <c r="A65" s="26" t="s">
        <v>250</v>
      </c>
      <c r="B65" s="27">
        <v>25.0</v>
      </c>
      <c r="C65" s="26" t="s">
        <v>250</v>
      </c>
      <c r="D65" s="27">
        <v>26.0</v>
      </c>
      <c r="E65" s="26" t="s">
        <v>250</v>
      </c>
      <c r="F65" s="27">
        <v>36.0</v>
      </c>
      <c r="G65" s="26" t="s">
        <v>250</v>
      </c>
      <c r="H65" s="27">
        <v>37.0</v>
      </c>
      <c r="I65" s="26" t="s">
        <v>250</v>
      </c>
      <c r="J65" s="27">
        <v>36.0</v>
      </c>
    </row>
    <row r="66">
      <c r="A66" s="24" t="s">
        <v>222</v>
      </c>
      <c r="B66" s="25">
        <v>22.0</v>
      </c>
      <c r="C66" s="37" t="s">
        <v>222</v>
      </c>
      <c r="D66" s="38">
        <v>23.0</v>
      </c>
      <c r="E66" s="37" t="s">
        <v>222</v>
      </c>
      <c r="F66" s="38">
        <v>24.0</v>
      </c>
      <c r="G66" s="37" t="s">
        <v>222</v>
      </c>
      <c r="H66" s="38">
        <v>25.0</v>
      </c>
      <c r="I66" s="37" t="s">
        <v>222</v>
      </c>
      <c r="J66" s="38">
        <v>26.0</v>
      </c>
    </row>
    <row r="67">
      <c r="A67" s="26" t="s">
        <v>223</v>
      </c>
      <c r="B67" s="28" t="s">
        <v>288</v>
      </c>
      <c r="C67" s="39" t="s">
        <v>223</v>
      </c>
      <c r="D67" s="40" t="s">
        <v>289</v>
      </c>
      <c r="E67" s="39" t="s">
        <v>223</v>
      </c>
      <c r="F67" s="40" t="s">
        <v>288</v>
      </c>
      <c r="G67" s="39" t="s">
        <v>223</v>
      </c>
      <c r="H67" s="40" t="s">
        <v>290</v>
      </c>
      <c r="I67" s="39" t="s">
        <v>223</v>
      </c>
      <c r="J67" s="40" t="s">
        <v>290</v>
      </c>
    </row>
    <row r="68">
      <c r="A68" s="26" t="s">
        <v>225</v>
      </c>
      <c r="B68" s="28" t="s">
        <v>226</v>
      </c>
      <c r="C68" s="39" t="s">
        <v>225</v>
      </c>
      <c r="D68" s="40" t="s">
        <v>291</v>
      </c>
      <c r="E68" s="39" t="s">
        <v>225</v>
      </c>
      <c r="F68" s="40" t="s">
        <v>279</v>
      </c>
      <c r="G68" s="39" t="s">
        <v>225</v>
      </c>
      <c r="H68" s="40" t="s">
        <v>291</v>
      </c>
      <c r="I68" s="39" t="s">
        <v>225</v>
      </c>
      <c r="J68" s="40" t="s">
        <v>291</v>
      </c>
    </row>
    <row r="69">
      <c r="A69" s="26" t="s">
        <v>227</v>
      </c>
      <c r="B69" s="28">
        <v>1.0</v>
      </c>
      <c r="C69" s="39" t="s">
        <v>227</v>
      </c>
      <c r="D69" s="40" t="s">
        <v>228</v>
      </c>
      <c r="E69" s="39" t="s">
        <v>227</v>
      </c>
      <c r="F69" s="41">
        <v>1.0</v>
      </c>
      <c r="G69" s="39" t="s">
        <v>227</v>
      </c>
      <c r="H69" s="41">
        <v>1.0</v>
      </c>
      <c r="I69" s="39" t="s">
        <v>227</v>
      </c>
      <c r="J69" s="41">
        <v>1.0</v>
      </c>
    </row>
    <row r="70">
      <c r="A70" s="26" t="s">
        <v>229</v>
      </c>
      <c r="B70" s="28" t="s">
        <v>292</v>
      </c>
      <c r="C70" s="39" t="s">
        <v>229</v>
      </c>
      <c r="D70" s="40" t="s">
        <v>195</v>
      </c>
      <c r="E70" s="39" t="s">
        <v>229</v>
      </c>
      <c r="F70" s="40" t="s">
        <v>205</v>
      </c>
      <c r="G70" s="39" t="s">
        <v>229</v>
      </c>
      <c r="H70" s="40" t="s">
        <v>212</v>
      </c>
      <c r="I70" s="39" t="s">
        <v>229</v>
      </c>
      <c r="J70" s="40" t="s">
        <v>212</v>
      </c>
    </row>
    <row r="71">
      <c r="A71" s="26" t="s">
        <v>232</v>
      </c>
      <c r="B71" s="28">
        <v>98.0</v>
      </c>
      <c r="C71" s="39" t="s">
        <v>232</v>
      </c>
      <c r="D71" s="40">
        <v>150.0</v>
      </c>
      <c r="E71" s="39" t="s">
        <v>232</v>
      </c>
      <c r="F71" s="40" t="s">
        <v>231</v>
      </c>
      <c r="G71" s="39" t="s">
        <v>232</v>
      </c>
      <c r="H71" s="40">
        <v>190.0</v>
      </c>
      <c r="I71" s="39" t="s">
        <v>232</v>
      </c>
      <c r="J71" s="40">
        <v>190.0</v>
      </c>
    </row>
    <row r="72">
      <c r="A72" s="29" t="s">
        <v>234</v>
      </c>
      <c r="B72" s="31" t="s">
        <v>293</v>
      </c>
      <c r="C72" s="42" t="s">
        <v>234</v>
      </c>
      <c r="D72" s="43" t="s">
        <v>294</v>
      </c>
      <c r="E72" s="42" t="s">
        <v>234</v>
      </c>
      <c r="F72" s="43" t="s">
        <v>295</v>
      </c>
      <c r="G72" s="42" t="s">
        <v>234</v>
      </c>
      <c r="H72" s="43" t="s">
        <v>213</v>
      </c>
      <c r="I72" s="42" t="s">
        <v>234</v>
      </c>
      <c r="J72" s="43" t="s">
        <v>213</v>
      </c>
    </row>
    <row r="73">
      <c r="A73" s="32"/>
      <c r="B73" s="32"/>
      <c r="C73" s="32"/>
      <c r="D73" s="44"/>
      <c r="E73" s="32"/>
      <c r="F73" s="44"/>
      <c r="G73" s="32"/>
      <c r="H73" s="44"/>
      <c r="I73" s="32"/>
      <c r="J73" s="44"/>
    </row>
    <row r="74">
      <c r="A74" s="29" t="s">
        <v>239</v>
      </c>
      <c r="B74" s="31">
        <v>2.0</v>
      </c>
      <c r="C74" s="42" t="s">
        <v>239</v>
      </c>
      <c r="D74" s="43">
        <v>3.0</v>
      </c>
      <c r="E74" s="42" t="s">
        <v>239</v>
      </c>
      <c r="F74" s="43">
        <v>1.0</v>
      </c>
      <c r="G74" s="42" t="s">
        <v>239</v>
      </c>
      <c r="H74" s="43">
        <v>3.0</v>
      </c>
      <c r="I74" s="42" t="s">
        <v>239</v>
      </c>
      <c r="J74" s="43">
        <v>3.0</v>
      </c>
    </row>
    <row r="75">
      <c r="A75" s="32"/>
      <c r="B75" s="32"/>
      <c r="C75" s="32"/>
      <c r="D75" s="44"/>
      <c r="E75" s="32"/>
      <c r="F75" s="44"/>
      <c r="G75" s="32"/>
      <c r="H75" s="44"/>
      <c r="I75" s="32"/>
      <c r="J75" s="44"/>
    </row>
    <row r="76">
      <c r="A76" s="26" t="s">
        <v>242</v>
      </c>
      <c r="B76" s="28" t="s">
        <v>51</v>
      </c>
      <c r="C76" s="39" t="s">
        <v>242</v>
      </c>
      <c r="D76" s="40" t="s">
        <v>296</v>
      </c>
      <c r="E76" s="39" t="s">
        <v>242</v>
      </c>
      <c r="F76" s="40" t="s">
        <v>297</v>
      </c>
      <c r="G76" s="39" t="s">
        <v>242</v>
      </c>
      <c r="H76" s="40" t="s">
        <v>51</v>
      </c>
      <c r="I76" s="39" t="s">
        <v>242</v>
      </c>
      <c r="J76" s="40" t="s">
        <v>51</v>
      </c>
    </row>
    <row r="77">
      <c r="A77" s="26" t="s">
        <v>246</v>
      </c>
      <c r="B77" s="28" t="s">
        <v>298</v>
      </c>
      <c r="C77" s="39" t="s">
        <v>246</v>
      </c>
      <c r="D77" s="41" t="s">
        <v>56</v>
      </c>
      <c r="E77" s="39" t="s">
        <v>246</v>
      </c>
      <c r="F77" s="41" t="s">
        <v>56</v>
      </c>
      <c r="G77" s="39" t="s">
        <v>246</v>
      </c>
      <c r="H77" s="40" t="s">
        <v>299</v>
      </c>
      <c r="I77" s="39" t="s">
        <v>246</v>
      </c>
      <c r="J77" s="40" t="s">
        <v>299</v>
      </c>
    </row>
    <row r="78">
      <c r="A78" s="29" t="s">
        <v>248</v>
      </c>
      <c r="B78" s="31">
        <v>3.0</v>
      </c>
      <c r="C78" s="42" t="s">
        <v>248</v>
      </c>
      <c r="D78" s="43">
        <v>4.0</v>
      </c>
      <c r="E78" s="42" t="s">
        <v>248</v>
      </c>
      <c r="F78" s="43">
        <v>3.0</v>
      </c>
      <c r="G78" s="42" t="s">
        <v>248</v>
      </c>
      <c r="H78" s="43">
        <v>1.0</v>
      </c>
      <c r="I78" s="42" t="s">
        <v>248</v>
      </c>
      <c r="J78" s="43">
        <v>1.0</v>
      </c>
    </row>
    <row r="79">
      <c r="A79" s="32"/>
      <c r="B79" s="32"/>
      <c r="C79" s="32"/>
      <c r="D79" s="44"/>
      <c r="E79" s="32"/>
      <c r="F79" s="44"/>
      <c r="G79" s="32"/>
      <c r="H79" s="44"/>
      <c r="I79" s="32"/>
      <c r="J79" s="44"/>
    </row>
    <row r="80">
      <c r="A80" s="26" t="s">
        <v>249</v>
      </c>
      <c r="B80" s="27">
        <v>16.0</v>
      </c>
      <c r="C80" s="39" t="s">
        <v>249</v>
      </c>
      <c r="D80" s="45">
        <v>17.0</v>
      </c>
      <c r="E80" s="39" t="s">
        <v>249</v>
      </c>
      <c r="F80" s="45">
        <v>18.0</v>
      </c>
      <c r="G80" s="39" t="s">
        <v>249</v>
      </c>
      <c r="H80" s="45">
        <v>6.0</v>
      </c>
      <c r="I80" s="39" t="s">
        <v>249</v>
      </c>
      <c r="J80" s="45">
        <v>6.0</v>
      </c>
    </row>
    <row r="81">
      <c r="A81" s="26" t="s">
        <v>250</v>
      </c>
      <c r="B81" s="27">
        <v>38.0</v>
      </c>
      <c r="C81" s="39" t="s">
        <v>250</v>
      </c>
      <c r="D81" s="45">
        <v>27.0</v>
      </c>
      <c r="E81" s="39" t="s">
        <v>250</v>
      </c>
      <c r="F81" s="45">
        <v>24.0</v>
      </c>
      <c r="G81" s="39" t="s">
        <v>250</v>
      </c>
      <c r="H81" s="45">
        <v>15.0</v>
      </c>
      <c r="I81" s="39" t="s">
        <v>250</v>
      </c>
      <c r="J81" s="45">
        <v>15.0</v>
      </c>
    </row>
    <row r="82">
      <c r="D82" s="3" t="s">
        <v>300</v>
      </c>
    </row>
  </sheetData>
  <mergeCells count="150">
    <mergeCell ref="H58:H59"/>
    <mergeCell ref="I58:I59"/>
    <mergeCell ref="J58:J59"/>
    <mergeCell ref="A58:A59"/>
    <mergeCell ref="B58:B59"/>
    <mergeCell ref="C58:C59"/>
    <mergeCell ref="D58:D59"/>
    <mergeCell ref="E58:E59"/>
    <mergeCell ref="F58:F59"/>
    <mergeCell ref="G58:G59"/>
    <mergeCell ref="H62:H63"/>
    <mergeCell ref="I62:I63"/>
    <mergeCell ref="J62:J63"/>
    <mergeCell ref="A62:A63"/>
    <mergeCell ref="B62:B63"/>
    <mergeCell ref="C62:C63"/>
    <mergeCell ref="D62:D63"/>
    <mergeCell ref="E62:E63"/>
    <mergeCell ref="F62:F63"/>
    <mergeCell ref="G62:G63"/>
    <mergeCell ref="H72:H73"/>
    <mergeCell ref="I72:I73"/>
    <mergeCell ref="J72:J73"/>
    <mergeCell ref="A72:A73"/>
    <mergeCell ref="B72:B73"/>
    <mergeCell ref="C72:C73"/>
    <mergeCell ref="D72:D73"/>
    <mergeCell ref="E72:E73"/>
    <mergeCell ref="F72:F73"/>
    <mergeCell ref="G72:G73"/>
    <mergeCell ref="H74:H75"/>
    <mergeCell ref="I74:I75"/>
    <mergeCell ref="J74:J75"/>
    <mergeCell ref="A74:A75"/>
    <mergeCell ref="B74:B75"/>
    <mergeCell ref="C74:C75"/>
    <mergeCell ref="D74:D75"/>
    <mergeCell ref="E74:E75"/>
    <mergeCell ref="F74:F75"/>
    <mergeCell ref="G74:G75"/>
    <mergeCell ref="H8:H9"/>
    <mergeCell ref="I8:I9"/>
    <mergeCell ref="J8:J9"/>
    <mergeCell ref="A8:A9"/>
    <mergeCell ref="B8:B9"/>
    <mergeCell ref="C8:C9"/>
    <mergeCell ref="D8:D9"/>
    <mergeCell ref="E8:E9"/>
    <mergeCell ref="F8:F9"/>
    <mergeCell ref="G8:G9"/>
    <mergeCell ref="H10:H11"/>
    <mergeCell ref="I10:I11"/>
    <mergeCell ref="J10:J11"/>
    <mergeCell ref="A10:A11"/>
    <mergeCell ref="B10:B11"/>
    <mergeCell ref="C10:C11"/>
    <mergeCell ref="D10:D11"/>
    <mergeCell ref="E10:E11"/>
    <mergeCell ref="F10:F11"/>
    <mergeCell ref="G10:G11"/>
    <mergeCell ref="H14:H15"/>
    <mergeCell ref="I14:I15"/>
    <mergeCell ref="J14:J15"/>
    <mergeCell ref="A14:A15"/>
    <mergeCell ref="B14:B15"/>
    <mergeCell ref="C14:C15"/>
    <mergeCell ref="D14:D15"/>
    <mergeCell ref="E14:E15"/>
    <mergeCell ref="F14:F15"/>
    <mergeCell ref="G14:G15"/>
    <mergeCell ref="H78:H79"/>
    <mergeCell ref="I78:I79"/>
    <mergeCell ref="J78:J79"/>
    <mergeCell ref="A78:A79"/>
    <mergeCell ref="B78:B79"/>
    <mergeCell ref="C78:C79"/>
    <mergeCell ref="D78:D79"/>
    <mergeCell ref="E78:E79"/>
    <mergeCell ref="F78:F79"/>
    <mergeCell ref="G78:G79"/>
    <mergeCell ref="H24:H25"/>
    <mergeCell ref="I24:I25"/>
    <mergeCell ref="J24:J25"/>
    <mergeCell ref="A24:A25"/>
    <mergeCell ref="B24:B25"/>
    <mergeCell ref="C24:C25"/>
    <mergeCell ref="D24:D25"/>
    <mergeCell ref="E24:E25"/>
    <mergeCell ref="F24:F25"/>
    <mergeCell ref="G24:G25"/>
    <mergeCell ref="H26:H27"/>
    <mergeCell ref="I26:I27"/>
    <mergeCell ref="J26:J27"/>
    <mergeCell ref="A26:A27"/>
    <mergeCell ref="B26:B27"/>
    <mergeCell ref="C26:C27"/>
    <mergeCell ref="D26:D27"/>
    <mergeCell ref="E26:E27"/>
    <mergeCell ref="F26:F27"/>
    <mergeCell ref="G26:G27"/>
    <mergeCell ref="H30:H31"/>
    <mergeCell ref="I30:I31"/>
    <mergeCell ref="J30:J31"/>
    <mergeCell ref="A30:A31"/>
    <mergeCell ref="B30:B31"/>
    <mergeCell ref="C30:C31"/>
    <mergeCell ref="D30:D31"/>
    <mergeCell ref="E30:E31"/>
    <mergeCell ref="F30:F31"/>
    <mergeCell ref="G30:G31"/>
    <mergeCell ref="H40:H41"/>
    <mergeCell ref="I40:I41"/>
    <mergeCell ref="J40:J41"/>
    <mergeCell ref="A40:A41"/>
    <mergeCell ref="B40:B41"/>
    <mergeCell ref="C40:C41"/>
    <mergeCell ref="D40:D41"/>
    <mergeCell ref="E40:E41"/>
    <mergeCell ref="F40:F41"/>
    <mergeCell ref="G40:G41"/>
    <mergeCell ref="H42:H43"/>
    <mergeCell ref="I42:I43"/>
    <mergeCell ref="J42:J43"/>
    <mergeCell ref="A42:A43"/>
    <mergeCell ref="B42:B43"/>
    <mergeCell ref="C42:C43"/>
    <mergeCell ref="D42:D43"/>
    <mergeCell ref="E42:E43"/>
    <mergeCell ref="F42:F43"/>
    <mergeCell ref="G42:G43"/>
    <mergeCell ref="H46:H47"/>
    <mergeCell ref="I46:I47"/>
    <mergeCell ref="J46:J47"/>
    <mergeCell ref="A46:A47"/>
    <mergeCell ref="B46:B47"/>
    <mergeCell ref="C46:C47"/>
    <mergeCell ref="D46:D47"/>
    <mergeCell ref="E46:E47"/>
    <mergeCell ref="F46:F47"/>
    <mergeCell ref="G46:G47"/>
    <mergeCell ref="H56:H57"/>
    <mergeCell ref="I56:I57"/>
    <mergeCell ref="J56:J57"/>
    <mergeCell ref="A56:A57"/>
    <mergeCell ref="B56:B57"/>
    <mergeCell ref="C56:C57"/>
    <mergeCell ref="D56:D57"/>
    <mergeCell ref="E56:E57"/>
    <mergeCell ref="F56:F57"/>
    <mergeCell ref="G56:G5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25"/>
    <col customWidth="1" min="2" max="2" width="28.63"/>
    <col customWidth="1" min="3" max="3" width="14.0"/>
    <col customWidth="1" min="4" max="4" width="18.5"/>
    <col customWidth="1" min="5" max="11" width="24.0"/>
    <col customWidth="1" min="12" max="12" width="23.75"/>
    <col customWidth="1" min="13" max="13" width="27.25"/>
    <col customWidth="1" min="14" max="14" width="24.88"/>
    <col customWidth="1" min="15" max="15" width="24.0"/>
    <col customWidth="1" min="16" max="16" width="23.75"/>
    <col customWidth="1" min="17" max="23" width="18.88"/>
  </cols>
  <sheetData>
    <row r="1">
      <c r="A1" s="46"/>
      <c r="B1" s="46" t="s">
        <v>301</v>
      </c>
      <c r="C1" s="46" t="s">
        <v>302</v>
      </c>
      <c r="D1" s="46" t="s">
        <v>303</v>
      </c>
      <c r="E1" s="46" t="s">
        <v>304</v>
      </c>
      <c r="F1" s="46" t="s">
        <v>305</v>
      </c>
      <c r="G1" s="46" t="s">
        <v>306</v>
      </c>
      <c r="H1" s="46" t="s">
        <v>307</v>
      </c>
      <c r="I1" s="47" t="s">
        <v>308</v>
      </c>
      <c r="J1" s="46" t="s">
        <v>309</v>
      </c>
      <c r="K1" s="46" t="s">
        <v>310</v>
      </c>
      <c r="L1" s="46" t="s">
        <v>311</v>
      </c>
      <c r="M1" s="46" t="s">
        <v>312</v>
      </c>
      <c r="N1" s="46" t="s">
        <v>313</v>
      </c>
      <c r="O1" s="46" t="s">
        <v>314</v>
      </c>
      <c r="P1" s="46" t="s">
        <v>315</v>
      </c>
      <c r="Q1" s="1"/>
    </row>
    <row r="2">
      <c r="A2" s="46"/>
      <c r="I2" s="48"/>
      <c r="Q2" s="1"/>
    </row>
    <row r="3" ht="24.75" customHeight="1">
      <c r="A3" s="46"/>
      <c r="I3" s="49"/>
      <c r="Q3" s="1" t="s">
        <v>24</v>
      </c>
    </row>
    <row r="4" ht="15.0" customHeight="1">
      <c r="A4" s="50"/>
      <c r="B4" s="50" t="s">
        <v>39</v>
      </c>
      <c r="C4" s="50" t="s">
        <v>40</v>
      </c>
      <c r="D4" s="50" t="s">
        <v>34</v>
      </c>
      <c r="E4" s="50" t="s">
        <v>36</v>
      </c>
      <c r="F4" s="50" t="s">
        <v>37</v>
      </c>
      <c r="G4" s="50" t="s">
        <v>35</v>
      </c>
      <c r="H4" s="50" t="s">
        <v>35</v>
      </c>
      <c r="I4" s="50" t="s">
        <v>35</v>
      </c>
      <c r="J4" s="50" t="s">
        <v>37</v>
      </c>
      <c r="K4" s="50" t="s">
        <v>35</v>
      </c>
      <c r="L4" s="50" t="s">
        <v>36</v>
      </c>
      <c r="M4" s="50" t="s">
        <v>36</v>
      </c>
      <c r="N4" s="50" t="s">
        <v>35</v>
      </c>
      <c r="O4" s="50" t="s">
        <v>35</v>
      </c>
      <c r="P4" s="50" t="s">
        <v>35</v>
      </c>
      <c r="Q4" s="50" t="s">
        <v>49</v>
      </c>
      <c r="R4" s="51"/>
      <c r="S4" s="51"/>
      <c r="T4" s="51"/>
      <c r="U4" s="51"/>
      <c r="V4" s="51"/>
      <c r="W4" s="51"/>
    </row>
    <row r="5">
      <c r="A5" s="52"/>
      <c r="B5" s="52" t="s">
        <v>50</v>
      </c>
      <c r="C5" s="52" t="s">
        <v>40</v>
      </c>
      <c r="D5" s="52" t="s">
        <v>34</v>
      </c>
      <c r="E5" s="52" t="s">
        <v>35</v>
      </c>
      <c r="F5" s="52" t="s">
        <v>36</v>
      </c>
      <c r="G5" s="52" t="s">
        <v>36</v>
      </c>
      <c r="H5" s="52" t="s">
        <v>35</v>
      </c>
      <c r="I5" s="52" t="s">
        <v>35</v>
      </c>
      <c r="J5" s="52" t="s">
        <v>35</v>
      </c>
      <c r="K5" s="52" t="s">
        <v>35</v>
      </c>
      <c r="L5" s="52" t="s">
        <v>35</v>
      </c>
      <c r="M5" s="52" t="s">
        <v>37</v>
      </c>
      <c r="N5" s="52" t="s">
        <v>35</v>
      </c>
      <c r="O5" s="52" t="s">
        <v>36</v>
      </c>
      <c r="P5" s="52" t="s">
        <v>35</v>
      </c>
      <c r="Q5" s="52" t="s">
        <v>58</v>
      </c>
      <c r="R5" s="53"/>
      <c r="S5" s="53"/>
      <c r="T5" s="53"/>
      <c r="U5" s="53"/>
      <c r="V5" s="53"/>
      <c r="W5" s="53"/>
    </row>
    <row r="6">
      <c r="A6" s="52"/>
      <c r="B6" s="52" t="s">
        <v>59</v>
      </c>
      <c r="C6" s="52" t="s">
        <v>40</v>
      </c>
      <c r="D6" s="52" t="s">
        <v>34</v>
      </c>
      <c r="E6" s="52" t="s">
        <v>35</v>
      </c>
      <c r="F6" s="52" t="s">
        <v>36</v>
      </c>
      <c r="G6" s="52" t="s">
        <v>37</v>
      </c>
      <c r="H6" s="52" t="s">
        <v>35</v>
      </c>
      <c r="I6" s="52" t="s">
        <v>35</v>
      </c>
      <c r="J6" s="52" t="s">
        <v>35</v>
      </c>
      <c r="K6" s="52" t="s">
        <v>36</v>
      </c>
      <c r="L6" s="52" t="s">
        <v>35</v>
      </c>
      <c r="M6" s="52" t="s">
        <v>36</v>
      </c>
      <c r="N6" s="52" t="s">
        <v>35</v>
      </c>
      <c r="O6" s="52" t="s">
        <v>36</v>
      </c>
      <c r="P6" s="52" t="s">
        <v>35</v>
      </c>
      <c r="Q6" s="53"/>
      <c r="R6" s="53"/>
      <c r="S6" s="53"/>
      <c r="T6" s="53"/>
      <c r="U6" s="53"/>
      <c r="V6" s="53"/>
      <c r="W6" s="53"/>
    </row>
    <row r="7">
      <c r="A7" s="52"/>
      <c r="B7" s="52" t="s">
        <v>67</v>
      </c>
      <c r="C7" s="52" t="s">
        <v>40</v>
      </c>
      <c r="D7" s="52" t="s">
        <v>34</v>
      </c>
      <c r="E7" s="52" t="s">
        <v>35</v>
      </c>
      <c r="F7" s="52" t="s">
        <v>35</v>
      </c>
      <c r="G7" s="52" t="s">
        <v>35</v>
      </c>
      <c r="H7" s="52" t="s">
        <v>35</v>
      </c>
      <c r="I7" s="52" t="s">
        <v>35</v>
      </c>
      <c r="J7" s="52" t="s">
        <v>35</v>
      </c>
      <c r="K7" s="52" t="s">
        <v>35</v>
      </c>
      <c r="L7" s="52" t="s">
        <v>35</v>
      </c>
      <c r="M7" s="52" t="s">
        <v>35</v>
      </c>
      <c r="N7" s="52" t="s">
        <v>35</v>
      </c>
      <c r="O7" s="52" t="s">
        <v>35</v>
      </c>
      <c r="P7" s="52" t="s">
        <v>35</v>
      </c>
      <c r="Q7" s="53"/>
      <c r="R7" s="53"/>
      <c r="S7" s="53"/>
      <c r="T7" s="53"/>
      <c r="U7" s="53"/>
      <c r="V7" s="53"/>
      <c r="W7" s="53"/>
    </row>
    <row r="8">
      <c r="A8" s="52"/>
      <c r="B8" s="52" t="s">
        <v>59</v>
      </c>
      <c r="C8" s="52" t="s">
        <v>40</v>
      </c>
      <c r="D8" s="52" t="s">
        <v>34</v>
      </c>
      <c r="E8" s="52" t="s">
        <v>35</v>
      </c>
      <c r="F8" s="52" t="s">
        <v>36</v>
      </c>
      <c r="G8" s="52" t="s">
        <v>37</v>
      </c>
      <c r="H8" s="52" t="s">
        <v>35</v>
      </c>
      <c r="I8" s="52" t="s">
        <v>35</v>
      </c>
      <c r="J8" s="52" t="s">
        <v>35</v>
      </c>
      <c r="K8" s="52" t="s">
        <v>35</v>
      </c>
      <c r="L8" s="52" t="s">
        <v>35</v>
      </c>
      <c r="M8" s="52" t="s">
        <v>37</v>
      </c>
      <c r="N8" s="52" t="s">
        <v>36</v>
      </c>
      <c r="O8" s="52" t="s">
        <v>37</v>
      </c>
      <c r="P8" s="52" t="s">
        <v>35</v>
      </c>
      <c r="Q8" s="53"/>
      <c r="R8" s="53"/>
      <c r="S8" s="53"/>
      <c r="T8" s="53"/>
      <c r="U8" s="53"/>
      <c r="V8" s="53"/>
      <c r="W8" s="53"/>
    </row>
    <row r="9">
      <c r="A9" s="52"/>
      <c r="B9" s="52" t="s">
        <v>67</v>
      </c>
      <c r="C9" s="52" t="s">
        <v>40</v>
      </c>
      <c r="D9" s="52" t="s">
        <v>34</v>
      </c>
      <c r="E9" s="52" t="s">
        <v>35</v>
      </c>
      <c r="F9" s="52" t="s">
        <v>37</v>
      </c>
      <c r="G9" s="52" t="s">
        <v>37</v>
      </c>
      <c r="H9" s="52" t="s">
        <v>35</v>
      </c>
      <c r="I9" s="52" t="s">
        <v>35</v>
      </c>
      <c r="J9" s="52" t="s">
        <v>35</v>
      </c>
      <c r="K9" s="52" t="s">
        <v>35</v>
      </c>
      <c r="L9" s="52" t="s">
        <v>35</v>
      </c>
      <c r="M9" s="52" t="s">
        <v>37</v>
      </c>
      <c r="N9" s="52" t="s">
        <v>35</v>
      </c>
      <c r="O9" s="52" t="s">
        <v>35</v>
      </c>
      <c r="P9" s="52" t="s">
        <v>35</v>
      </c>
      <c r="Q9" s="52" t="s">
        <v>86</v>
      </c>
      <c r="R9" s="53"/>
      <c r="S9" s="53"/>
      <c r="T9" s="53"/>
      <c r="U9" s="53"/>
      <c r="V9" s="53"/>
      <c r="W9" s="53"/>
    </row>
    <row r="10">
      <c r="A10" s="52"/>
      <c r="B10" s="52" t="s">
        <v>67</v>
      </c>
      <c r="C10" s="52" t="s">
        <v>40</v>
      </c>
      <c r="D10" s="52" t="s">
        <v>34</v>
      </c>
      <c r="E10" s="52" t="s">
        <v>35</v>
      </c>
      <c r="F10" s="52" t="s">
        <v>36</v>
      </c>
      <c r="G10" s="52" t="s">
        <v>37</v>
      </c>
      <c r="H10" s="52" t="s">
        <v>36</v>
      </c>
      <c r="I10" s="52" t="s">
        <v>35</v>
      </c>
      <c r="J10" s="52" t="s">
        <v>35</v>
      </c>
      <c r="K10" s="52" t="s">
        <v>36</v>
      </c>
      <c r="L10" s="52" t="s">
        <v>35</v>
      </c>
      <c r="M10" s="52" t="s">
        <v>36</v>
      </c>
      <c r="N10" s="52" t="s">
        <v>35</v>
      </c>
      <c r="O10" s="52" t="s">
        <v>37</v>
      </c>
      <c r="P10" s="52" t="s">
        <v>35</v>
      </c>
      <c r="Q10" s="53"/>
      <c r="R10" s="53"/>
      <c r="S10" s="53"/>
      <c r="T10" s="53"/>
      <c r="U10" s="53"/>
      <c r="V10" s="53"/>
      <c r="W10" s="53"/>
    </row>
    <row r="11">
      <c r="A11" s="5"/>
      <c r="B11" s="52" t="s">
        <v>67</v>
      </c>
      <c r="C11" s="52" t="s">
        <v>40</v>
      </c>
      <c r="D11" s="52" t="s">
        <v>34</v>
      </c>
      <c r="E11" s="52" t="s">
        <v>35</v>
      </c>
      <c r="F11" s="52" t="s">
        <v>36</v>
      </c>
      <c r="G11" s="52" t="s">
        <v>36</v>
      </c>
      <c r="H11" s="52" t="s">
        <v>35</v>
      </c>
      <c r="I11" s="52" t="s">
        <v>35</v>
      </c>
      <c r="J11" s="52" t="s">
        <v>35</v>
      </c>
      <c r="K11" s="52" t="s">
        <v>35</v>
      </c>
      <c r="L11" s="52" t="s">
        <v>35</v>
      </c>
      <c r="M11" s="52" t="s">
        <v>37</v>
      </c>
      <c r="N11" s="52" t="s">
        <v>36</v>
      </c>
      <c r="O11" s="52" t="s">
        <v>35</v>
      </c>
      <c r="P11" s="52" t="s">
        <v>35</v>
      </c>
      <c r="Q11" s="53"/>
      <c r="R11" s="53"/>
      <c r="S11" s="53"/>
      <c r="T11" s="53"/>
      <c r="U11" s="53"/>
      <c r="V11" s="53"/>
      <c r="W11" s="53"/>
    </row>
    <row r="12">
      <c r="A12" s="9"/>
      <c r="B12" s="54" t="s">
        <v>99</v>
      </c>
      <c r="C12" s="54" t="s">
        <v>40</v>
      </c>
      <c r="D12" s="54" t="s">
        <v>34</v>
      </c>
      <c r="E12" s="54" t="s">
        <v>37</v>
      </c>
      <c r="F12" s="54" t="s">
        <v>36</v>
      </c>
      <c r="G12" s="54" t="s">
        <v>36</v>
      </c>
      <c r="H12" s="54" t="s">
        <v>36</v>
      </c>
      <c r="I12" s="54" t="s">
        <v>36</v>
      </c>
      <c r="J12" s="54" t="s">
        <v>104</v>
      </c>
      <c r="K12" s="54" t="s">
        <v>36</v>
      </c>
      <c r="L12" s="54" t="s">
        <v>36</v>
      </c>
      <c r="M12" s="54" t="s">
        <v>36</v>
      </c>
      <c r="N12" s="54" t="s">
        <v>36</v>
      </c>
      <c r="O12" s="54" t="s">
        <v>36</v>
      </c>
      <c r="P12" s="54" t="s">
        <v>36</v>
      </c>
      <c r="Q12" s="55"/>
      <c r="R12" s="55"/>
      <c r="S12" s="55"/>
      <c r="T12" s="55"/>
      <c r="U12" s="55"/>
      <c r="V12" s="55"/>
      <c r="W12" s="55"/>
    </row>
    <row r="13">
      <c r="A13" s="9"/>
      <c r="B13" s="54" t="s">
        <v>105</v>
      </c>
      <c r="C13" s="54" t="s">
        <v>106</v>
      </c>
      <c r="D13" s="54" t="s">
        <v>34</v>
      </c>
      <c r="E13" s="54" t="s">
        <v>36</v>
      </c>
      <c r="F13" s="54" t="s">
        <v>36</v>
      </c>
      <c r="G13" s="54" t="s">
        <v>35</v>
      </c>
      <c r="H13" s="54" t="s">
        <v>35</v>
      </c>
      <c r="I13" s="54" t="s">
        <v>35</v>
      </c>
      <c r="J13" s="54" t="s">
        <v>37</v>
      </c>
      <c r="K13" s="54" t="s">
        <v>35</v>
      </c>
      <c r="L13" s="54" t="s">
        <v>36</v>
      </c>
      <c r="M13" s="54" t="s">
        <v>37</v>
      </c>
      <c r="N13" s="54" t="s">
        <v>35</v>
      </c>
      <c r="O13" s="54" t="s">
        <v>35</v>
      </c>
      <c r="P13" s="54" t="s">
        <v>35</v>
      </c>
      <c r="Q13" s="55"/>
      <c r="R13" s="55"/>
      <c r="S13" s="55"/>
      <c r="T13" s="55"/>
      <c r="U13" s="55"/>
      <c r="V13" s="55"/>
      <c r="W13" s="55"/>
    </row>
    <row r="14">
      <c r="A14" s="12"/>
      <c r="B14" s="56" t="s">
        <v>115</v>
      </c>
      <c r="C14" s="56" t="s">
        <v>40</v>
      </c>
      <c r="D14" s="56" t="s">
        <v>34</v>
      </c>
      <c r="E14" s="56" t="s">
        <v>35</v>
      </c>
      <c r="F14" s="56" t="s">
        <v>36</v>
      </c>
      <c r="G14" s="56" t="s">
        <v>36</v>
      </c>
      <c r="H14" s="56" t="s">
        <v>36</v>
      </c>
      <c r="I14" s="56" t="s">
        <v>35</v>
      </c>
      <c r="J14" s="56" t="s">
        <v>104</v>
      </c>
      <c r="K14" s="56" t="s">
        <v>35</v>
      </c>
      <c r="L14" s="56" t="s">
        <v>36</v>
      </c>
      <c r="M14" s="56" t="s">
        <v>37</v>
      </c>
      <c r="N14" s="56" t="s">
        <v>36</v>
      </c>
      <c r="O14" s="56" t="s">
        <v>35</v>
      </c>
      <c r="P14" s="56" t="s">
        <v>36</v>
      </c>
      <c r="Q14" s="57"/>
      <c r="R14" s="57"/>
      <c r="S14" s="57"/>
      <c r="T14" s="57"/>
      <c r="U14" s="57"/>
      <c r="V14" s="57"/>
      <c r="W14" s="57"/>
    </row>
    <row r="15">
      <c r="A15" s="9"/>
      <c r="B15" s="54" t="s">
        <v>122</v>
      </c>
      <c r="C15" s="54" t="s">
        <v>40</v>
      </c>
      <c r="D15" s="54" t="s">
        <v>104</v>
      </c>
      <c r="E15" s="54" t="s">
        <v>35</v>
      </c>
      <c r="F15" s="54" t="s">
        <v>35</v>
      </c>
      <c r="G15" s="54" t="s">
        <v>104</v>
      </c>
      <c r="H15" s="54" t="s">
        <v>35</v>
      </c>
      <c r="I15" s="54" t="s">
        <v>35</v>
      </c>
      <c r="J15" s="54" t="s">
        <v>35</v>
      </c>
      <c r="K15" s="54" t="s">
        <v>35</v>
      </c>
      <c r="L15" s="54" t="s">
        <v>36</v>
      </c>
      <c r="M15" s="54" t="s">
        <v>37</v>
      </c>
      <c r="N15" s="54" t="s">
        <v>37</v>
      </c>
      <c r="O15" s="54" t="s">
        <v>36</v>
      </c>
      <c r="P15" s="54" t="s">
        <v>35</v>
      </c>
      <c r="Q15" s="54" t="s">
        <v>128</v>
      </c>
      <c r="R15" s="55"/>
      <c r="S15" s="55"/>
      <c r="T15" s="55"/>
      <c r="U15" s="55"/>
      <c r="V15" s="55"/>
      <c r="W15" s="55"/>
    </row>
    <row r="16">
      <c r="A16" s="9"/>
      <c r="B16" s="54" t="s">
        <v>129</v>
      </c>
      <c r="C16" s="54" t="s">
        <v>106</v>
      </c>
      <c r="D16" s="54" t="s">
        <v>104</v>
      </c>
      <c r="E16" s="54" t="s">
        <v>35</v>
      </c>
      <c r="F16" s="54" t="s">
        <v>36</v>
      </c>
      <c r="G16" s="54" t="s">
        <v>35</v>
      </c>
      <c r="H16" s="54" t="s">
        <v>35</v>
      </c>
      <c r="I16" s="54" t="s">
        <v>36</v>
      </c>
      <c r="J16" s="54" t="s">
        <v>35</v>
      </c>
      <c r="K16" s="54" t="s">
        <v>35</v>
      </c>
      <c r="L16" s="54" t="s">
        <v>36</v>
      </c>
      <c r="M16" s="54" t="s">
        <v>104</v>
      </c>
      <c r="N16" s="54" t="s">
        <v>36</v>
      </c>
      <c r="O16" s="54" t="s">
        <v>36</v>
      </c>
      <c r="P16" s="54" t="s">
        <v>36</v>
      </c>
      <c r="Q16" s="54" t="s">
        <v>136</v>
      </c>
      <c r="R16" s="55"/>
      <c r="S16" s="55"/>
      <c r="T16" s="55"/>
      <c r="U16" s="55"/>
      <c r="V16" s="55"/>
      <c r="W16" s="55"/>
    </row>
    <row r="17">
      <c r="A17" s="12"/>
      <c r="B17" s="56" t="s">
        <v>137</v>
      </c>
      <c r="C17" s="56" t="s">
        <v>106</v>
      </c>
      <c r="D17" s="56" t="s">
        <v>104</v>
      </c>
      <c r="E17" s="56" t="s">
        <v>37</v>
      </c>
      <c r="F17" s="56" t="s">
        <v>104</v>
      </c>
      <c r="G17" s="56" t="s">
        <v>37</v>
      </c>
      <c r="H17" s="56" t="s">
        <v>37</v>
      </c>
      <c r="I17" s="56" t="s">
        <v>104</v>
      </c>
      <c r="J17" s="56" t="s">
        <v>104</v>
      </c>
      <c r="K17" s="56" t="s">
        <v>37</v>
      </c>
      <c r="L17" s="56" t="s">
        <v>104</v>
      </c>
      <c r="M17" s="56" t="s">
        <v>104</v>
      </c>
      <c r="N17" s="56" t="s">
        <v>104</v>
      </c>
      <c r="O17" s="56" t="s">
        <v>104</v>
      </c>
      <c r="P17" s="56" t="s">
        <v>34</v>
      </c>
      <c r="Q17" s="56" t="s">
        <v>143</v>
      </c>
      <c r="R17" s="57"/>
      <c r="S17" s="57"/>
      <c r="T17" s="57"/>
      <c r="U17" s="57"/>
      <c r="V17" s="57"/>
      <c r="W17" s="57"/>
    </row>
    <row r="18">
      <c r="A18" s="5"/>
      <c r="B18" s="52" t="s">
        <v>144</v>
      </c>
      <c r="C18" s="52" t="s">
        <v>145</v>
      </c>
      <c r="D18" s="52" t="s">
        <v>34</v>
      </c>
      <c r="E18" s="52" t="s">
        <v>35</v>
      </c>
      <c r="F18" s="52" t="s">
        <v>35</v>
      </c>
      <c r="G18" s="52" t="s">
        <v>36</v>
      </c>
      <c r="H18" s="52" t="s">
        <v>35</v>
      </c>
      <c r="I18" s="52" t="s">
        <v>35</v>
      </c>
      <c r="J18" s="52" t="s">
        <v>36</v>
      </c>
      <c r="K18" s="52" t="s">
        <v>36</v>
      </c>
      <c r="L18" s="52" t="s">
        <v>36</v>
      </c>
      <c r="M18" s="52" t="s">
        <v>36</v>
      </c>
      <c r="N18" s="52" t="s">
        <v>36</v>
      </c>
      <c r="O18" s="52" t="s">
        <v>36</v>
      </c>
      <c r="P18" s="52" t="s">
        <v>37</v>
      </c>
      <c r="Q18" s="53"/>
      <c r="R18" s="53"/>
      <c r="S18" s="53"/>
      <c r="T18" s="53"/>
      <c r="U18" s="53"/>
      <c r="V18" s="53"/>
      <c r="W18" s="53"/>
    </row>
    <row r="19">
      <c r="A19" s="5"/>
      <c r="B19" s="52" t="s">
        <v>151</v>
      </c>
      <c r="C19" s="52" t="s">
        <v>152</v>
      </c>
      <c r="D19" s="52" t="s">
        <v>104</v>
      </c>
      <c r="E19" s="52" t="s">
        <v>36</v>
      </c>
      <c r="F19" s="52" t="s">
        <v>104</v>
      </c>
      <c r="G19" s="52" t="s">
        <v>37</v>
      </c>
      <c r="H19" s="52" t="s">
        <v>36</v>
      </c>
      <c r="I19" s="52" t="s">
        <v>37</v>
      </c>
      <c r="J19" s="52" t="s">
        <v>37</v>
      </c>
      <c r="K19" s="52" t="s">
        <v>36</v>
      </c>
      <c r="L19" s="52" t="s">
        <v>36</v>
      </c>
      <c r="M19" s="52" t="s">
        <v>104</v>
      </c>
      <c r="N19" s="52" t="s">
        <v>37</v>
      </c>
      <c r="O19" s="52" t="s">
        <v>36</v>
      </c>
      <c r="P19" s="52" t="s">
        <v>104</v>
      </c>
      <c r="Q19" s="53"/>
      <c r="R19" s="53"/>
      <c r="S19" s="53"/>
      <c r="T19" s="53"/>
      <c r="U19" s="53"/>
      <c r="V19" s="53"/>
      <c r="W19" s="53"/>
    </row>
    <row r="20">
      <c r="A20" s="12"/>
      <c r="B20" s="56" t="s">
        <v>158</v>
      </c>
      <c r="C20" s="56" t="s">
        <v>152</v>
      </c>
      <c r="D20" s="56" t="s">
        <v>37</v>
      </c>
      <c r="E20" s="56" t="s">
        <v>36</v>
      </c>
      <c r="F20" s="56" t="s">
        <v>37</v>
      </c>
      <c r="G20" s="56" t="s">
        <v>36</v>
      </c>
      <c r="H20" s="56" t="s">
        <v>37</v>
      </c>
      <c r="I20" s="56" t="s">
        <v>37</v>
      </c>
      <c r="J20" s="56" t="s">
        <v>104</v>
      </c>
      <c r="K20" s="56" t="s">
        <v>36</v>
      </c>
      <c r="L20" s="56" t="s">
        <v>36</v>
      </c>
      <c r="M20" s="56" t="s">
        <v>37</v>
      </c>
      <c r="N20" s="56" t="s">
        <v>37</v>
      </c>
      <c r="O20" s="56" t="s">
        <v>36</v>
      </c>
      <c r="P20" s="56" t="s">
        <v>37</v>
      </c>
      <c r="Q20" s="56" t="s">
        <v>164</v>
      </c>
      <c r="R20" s="57"/>
      <c r="S20" s="57"/>
      <c r="T20" s="57"/>
      <c r="U20" s="57"/>
      <c r="V20" s="57"/>
      <c r="W20" s="57"/>
    </row>
    <row r="21">
      <c r="A21" s="9"/>
      <c r="B21" s="54" t="s">
        <v>165</v>
      </c>
      <c r="C21" s="54" t="s">
        <v>145</v>
      </c>
      <c r="D21" s="54" t="s">
        <v>34</v>
      </c>
      <c r="E21" s="54" t="s">
        <v>35</v>
      </c>
      <c r="F21" s="54" t="s">
        <v>35</v>
      </c>
      <c r="G21" s="54" t="s">
        <v>35</v>
      </c>
      <c r="H21" s="54" t="s">
        <v>35</v>
      </c>
      <c r="I21" s="54" t="s">
        <v>35</v>
      </c>
      <c r="J21" s="54" t="s">
        <v>35</v>
      </c>
      <c r="K21" s="54" t="s">
        <v>35</v>
      </c>
      <c r="L21" s="54" t="s">
        <v>35</v>
      </c>
      <c r="M21" s="54" t="s">
        <v>37</v>
      </c>
      <c r="N21" s="54" t="s">
        <v>37</v>
      </c>
      <c r="O21" s="54" t="s">
        <v>35</v>
      </c>
      <c r="P21" s="54" t="s">
        <v>35</v>
      </c>
      <c r="Q21" s="54" t="s">
        <v>172</v>
      </c>
      <c r="R21" s="55"/>
      <c r="S21" s="55"/>
      <c r="T21" s="55"/>
      <c r="U21" s="55"/>
      <c r="V21" s="55"/>
      <c r="W21" s="55"/>
    </row>
    <row r="22">
      <c r="A22" s="5"/>
      <c r="B22" s="5" t="s">
        <v>50</v>
      </c>
      <c r="C22" s="5" t="s">
        <v>173</v>
      </c>
      <c r="D22" s="5" t="s">
        <v>34</v>
      </c>
      <c r="E22" s="5" t="s">
        <v>36</v>
      </c>
      <c r="F22" s="5" t="s">
        <v>37</v>
      </c>
      <c r="G22" s="5" t="s">
        <v>37</v>
      </c>
      <c r="H22" s="5" t="s">
        <v>35</v>
      </c>
      <c r="I22" s="58" t="s">
        <v>35</v>
      </c>
      <c r="J22" s="5" t="s">
        <v>35</v>
      </c>
      <c r="K22" s="5" t="s">
        <v>36</v>
      </c>
      <c r="L22" s="5" t="s">
        <v>35</v>
      </c>
      <c r="M22" s="5" t="s">
        <v>36</v>
      </c>
      <c r="N22" s="5" t="s">
        <v>35</v>
      </c>
      <c r="O22" s="5" t="s">
        <v>36</v>
      </c>
      <c r="P22" s="5" t="s">
        <v>35</v>
      </c>
      <c r="Q22" s="6"/>
      <c r="R22" s="6"/>
      <c r="S22" s="6"/>
      <c r="T22" s="6"/>
      <c r="U22" s="6"/>
      <c r="V22" s="6"/>
      <c r="W22" s="6"/>
    </row>
    <row r="23">
      <c r="A23" s="5"/>
      <c r="B23" s="5" t="s">
        <v>67</v>
      </c>
      <c r="C23" s="5" t="s">
        <v>173</v>
      </c>
      <c r="D23" s="5" t="s">
        <v>34</v>
      </c>
      <c r="E23" s="5" t="s">
        <v>35</v>
      </c>
      <c r="F23" s="5" t="s">
        <v>37</v>
      </c>
      <c r="G23" s="5" t="s">
        <v>37</v>
      </c>
      <c r="H23" s="5" t="s">
        <v>35</v>
      </c>
      <c r="I23" s="59" t="s">
        <v>35</v>
      </c>
      <c r="J23" s="5" t="s">
        <v>35</v>
      </c>
      <c r="K23" s="5" t="s">
        <v>35</v>
      </c>
      <c r="L23" s="5" t="s">
        <v>35</v>
      </c>
      <c r="M23" s="5" t="s">
        <v>37</v>
      </c>
      <c r="N23" s="5" t="s">
        <v>36</v>
      </c>
      <c r="O23" s="5" t="s">
        <v>36</v>
      </c>
      <c r="P23" s="5" t="s">
        <v>35</v>
      </c>
      <c r="Q23" s="6"/>
      <c r="R23" s="6"/>
      <c r="S23" s="6"/>
      <c r="T23" s="6"/>
      <c r="U23" s="6"/>
      <c r="V23" s="6"/>
      <c r="W23" s="6"/>
    </row>
    <row r="24">
      <c r="A24" s="60"/>
      <c r="B24" s="60" t="s">
        <v>183</v>
      </c>
      <c r="C24" s="60" t="s">
        <v>184</v>
      </c>
      <c r="D24" s="60" t="s">
        <v>104</v>
      </c>
      <c r="E24" s="60" t="s">
        <v>36</v>
      </c>
      <c r="F24" s="60" t="s">
        <v>35</v>
      </c>
      <c r="G24" s="60" t="s">
        <v>104</v>
      </c>
      <c r="H24" s="60" t="s">
        <v>37</v>
      </c>
      <c r="I24" s="60" t="s">
        <v>35</v>
      </c>
      <c r="J24" s="60" t="s">
        <v>37</v>
      </c>
      <c r="K24" s="60" t="s">
        <v>36</v>
      </c>
      <c r="L24" s="60" t="s">
        <v>36</v>
      </c>
      <c r="M24" s="60" t="s">
        <v>36</v>
      </c>
      <c r="N24" s="60" t="s">
        <v>36</v>
      </c>
      <c r="O24" s="60" t="s">
        <v>36</v>
      </c>
      <c r="P24" s="60" t="s">
        <v>36</v>
      </c>
      <c r="Q24" s="60" t="s">
        <v>192</v>
      </c>
      <c r="R24" s="61"/>
      <c r="S24" s="61"/>
      <c r="T24" s="61"/>
      <c r="U24" s="61"/>
      <c r="V24" s="61"/>
      <c r="W24" s="61"/>
    </row>
    <row r="25">
      <c r="A25" s="18"/>
      <c r="B25" s="18" t="s">
        <v>193</v>
      </c>
      <c r="C25" s="18" t="s">
        <v>194</v>
      </c>
      <c r="D25" s="18" t="s">
        <v>34</v>
      </c>
      <c r="E25" s="18" t="s">
        <v>35</v>
      </c>
      <c r="F25" s="18" t="s">
        <v>104</v>
      </c>
      <c r="G25" s="18" t="s">
        <v>36</v>
      </c>
      <c r="H25" s="18" t="s">
        <v>35</v>
      </c>
      <c r="I25" s="62" t="s">
        <v>36</v>
      </c>
      <c r="J25" s="18" t="s">
        <v>34</v>
      </c>
      <c r="K25" s="18" t="s">
        <v>36</v>
      </c>
      <c r="L25" s="18" t="s">
        <v>36</v>
      </c>
      <c r="M25" s="18" t="s">
        <v>36</v>
      </c>
      <c r="N25" s="18" t="s">
        <v>104</v>
      </c>
      <c r="O25" s="18" t="s">
        <v>37</v>
      </c>
      <c r="P25" s="18" t="s">
        <v>35</v>
      </c>
      <c r="Q25" s="18" t="s">
        <v>202</v>
      </c>
      <c r="R25" s="19"/>
      <c r="S25" s="19"/>
      <c r="T25" s="19"/>
      <c r="U25" s="19"/>
      <c r="V25" s="19"/>
      <c r="W25" s="19"/>
    </row>
    <row r="26">
      <c r="A26" s="15"/>
      <c r="B26" s="15" t="s">
        <v>203</v>
      </c>
      <c r="C26" s="15" t="s">
        <v>173</v>
      </c>
      <c r="D26" s="15" t="s">
        <v>104</v>
      </c>
      <c r="E26" s="15" t="s">
        <v>36</v>
      </c>
      <c r="F26" s="15" t="s">
        <v>35</v>
      </c>
      <c r="G26" s="15" t="s">
        <v>37</v>
      </c>
      <c r="H26" s="15" t="s">
        <v>36</v>
      </c>
      <c r="I26" s="63" t="s">
        <v>37</v>
      </c>
      <c r="J26" s="15" t="s">
        <v>34</v>
      </c>
      <c r="K26" s="15" t="s">
        <v>36</v>
      </c>
      <c r="L26" s="15" t="s">
        <v>36</v>
      </c>
      <c r="M26" s="15" t="s">
        <v>37</v>
      </c>
      <c r="N26" s="15" t="s">
        <v>104</v>
      </c>
      <c r="O26" s="15" t="s">
        <v>36</v>
      </c>
      <c r="P26" s="15" t="s">
        <v>37</v>
      </c>
      <c r="Q26" s="16"/>
      <c r="R26" s="16"/>
      <c r="S26" s="16"/>
      <c r="T26" s="16"/>
      <c r="U26" s="16"/>
      <c r="V26" s="16"/>
      <c r="W26" s="16"/>
    </row>
    <row r="27">
      <c r="A27" s="21"/>
      <c r="B27" s="21" t="s">
        <v>25</v>
      </c>
      <c r="C27" s="21" t="s">
        <v>194</v>
      </c>
      <c r="D27" s="21" t="s">
        <v>34</v>
      </c>
      <c r="E27" s="21" t="s">
        <v>34</v>
      </c>
      <c r="F27" s="21" t="s">
        <v>34</v>
      </c>
      <c r="G27" s="21" t="s">
        <v>34</v>
      </c>
      <c r="H27" s="21" t="s">
        <v>36</v>
      </c>
      <c r="I27" s="64" t="s">
        <v>36</v>
      </c>
      <c r="J27" s="21" t="s">
        <v>34</v>
      </c>
      <c r="K27" s="21" t="s">
        <v>35</v>
      </c>
      <c r="L27" s="21" t="s">
        <v>36</v>
      </c>
      <c r="M27" s="21" t="s">
        <v>36</v>
      </c>
      <c r="N27" s="21" t="s">
        <v>35</v>
      </c>
      <c r="O27" s="21" t="s">
        <v>36</v>
      </c>
      <c r="P27" s="21" t="s">
        <v>35</v>
      </c>
      <c r="Q27" s="21" t="s">
        <v>216</v>
      </c>
      <c r="R27" s="22"/>
      <c r="S27" s="22"/>
      <c r="T27" s="22"/>
      <c r="U27" s="22"/>
      <c r="V27" s="22"/>
      <c r="W27" s="22"/>
    </row>
    <row r="28">
      <c r="A28" s="21"/>
      <c r="B28" s="21" t="s">
        <v>25</v>
      </c>
      <c r="C28" s="21" t="s">
        <v>194</v>
      </c>
      <c r="D28" s="21" t="s">
        <v>34</v>
      </c>
      <c r="E28" s="21" t="s">
        <v>34</v>
      </c>
      <c r="F28" s="21" t="s">
        <v>34</v>
      </c>
      <c r="G28" s="21" t="s">
        <v>34</v>
      </c>
      <c r="H28" s="21" t="s">
        <v>104</v>
      </c>
      <c r="I28" s="64" t="s">
        <v>104</v>
      </c>
      <c r="J28" s="21" t="s">
        <v>34</v>
      </c>
      <c r="K28" s="21" t="s">
        <v>104</v>
      </c>
      <c r="L28" s="21" t="s">
        <v>104</v>
      </c>
      <c r="M28" s="21" t="s">
        <v>104</v>
      </c>
      <c r="N28" s="21" t="s">
        <v>104</v>
      </c>
      <c r="O28" s="21" t="s">
        <v>104</v>
      </c>
      <c r="P28" s="21" t="s">
        <v>104</v>
      </c>
      <c r="Q28" s="21" t="s">
        <v>221</v>
      </c>
      <c r="R28" s="22"/>
      <c r="S28" s="22"/>
      <c r="T28" s="22"/>
      <c r="U28" s="22"/>
      <c r="V28" s="22"/>
      <c r="W28" s="22"/>
    </row>
    <row r="29">
      <c r="A29" s="65"/>
      <c r="B29" s="66" t="s">
        <v>34</v>
      </c>
      <c r="C29" s="67"/>
      <c r="D29" s="68">
        <f>COUNTIF(D4:D$28,"Muy en desacuerdo")/24</f>
        <v>0.75</v>
      </c>
      <c r="E29" s="69">
        <f>COUNTIF(E$4:E$28,"Muy en desacuerdo")/24</f>
        <v>0.08333333333</v>
      </c>
      <c r="F29" s="68">
        <f>COUNTIF(F4:F$28,"Muy en desacuerdo")/24</f>
        <v>0.08333333333</v>
      </c>
      <c r="G29" s="69">
        <f>COUNTIF(G$4:G$28,"Muy en desacuerdo")/24</f>
        <v>0.08333333333</v>
      </c>
      <c r="H29" s="70">
        <f>COUNTIF(H4:H$28,"Muy en desacuerdo")/24</f>
        <v>0</v>
      </c>
      <c r="I29" s="71">
        <f>COUNTIF(I$4:I$28,"Muy en desacuerdo")/24</f>
        <v>0</v>
      </c>
      <c r="J29" s="72">
        <f>COUNTIF(J4:J$28,"Muy en desacuerdo")/24</f>
        <v>0.1666666667</v>
      </c>
      <c r="K29" s="69">
        <f>COUNTIF(K$4:K$28,"Muy en desacuerdo")/24</f>
        <v>0</v>
      </c>
      <c r="L29" s="68">
        <f>COUNTIF(L4:L$28,"Muy en desacuerdo")/24</f>
        <v>0</v>
      </c>
      <c r="M29" s="69">
        <f>COUNTIF(M$4:M$28,"Muy en desacuerdo")/24</f>
        <v>0</v>
      </c>
      <c r="N29" s="68">
        <f>COUNTIF(N4:N$28,"Muy en desacuerdo")/24</f>
        <v>0</v>
      </c>
      <c r="O29" s="69">
        <f>COUNTIF(O$4:O$28,"Muy en desacuerdo")/24</f>
        <v>0</v>
      </c>
      <c r="P29" s="68">
        <f>COUNTIF(P4:P$28,"Muy en desacuerdo")/24</f>
        <v>0.04166666667</v>
      </c>
    </row>
    <row r="30">
      <c r="A30" s="65"/>
      <c r="B30" s="66" t="s">
        <v>104</v>
      </c>
      <c r="C30" s="67"/>
      <c r="D30" s="68">
        <f t="shared" ref="D30:P30" si="1">COUNTIF(D$4:D$28,"Algo en desacuerdo")/24</f>
        <v>0.25</v>
      </c>
      <c r="E30" s="69">
        <f t="shared" si="1"/>
        <v>0</v>
      </c>
      <c r="F30" s="68">
        <f t="shared" si="1"/>
        <v>0.125</v>
      </c>
      <c r="G30" s="69">
        <f t="shared" si="1"/>
        <v>0.08333333333</v>
      </c>
      <c r="H30" s="70">
        <f t="shared" si="1"/>
        <v>0.04166666667</v>
      </c>
      <c r="I30" s="71">
        <f t="shared" si="1"/>
        <v>0.08333333333</v>
      </c>
      <c r="J30" s="72">
        <f t="shared" si="1"/>
        <v>0.1666666667</v>
      </c>
      <c r="K30" s="69">
        <f t="shared" si="1"/>
        <v>0.04166666667</v>
      </c>
      <c r="L30" s="68">
        <f t="shared" si="1"/>
        <v>0.08333333333</v>
      </c>
      <c r="M30" s="69">
        <f t="shared" si="1"/>
        <v>0.1666666667</v>
      </c>
      <c r="N30" s="68">
        <f t="shared" si="1"/>
        <v>0.1666666667</v>
      </c>
      <c r="O30" s="69">
        <f t="shared" si="1"/>
        <v>0.08333333333</v>
      </c>
      <c r="P30" s="68">
        <f t="shared" si="1"/>
        <v>0.08333333333</v>
      </c>
    </row>
    <row r="31">
      <c r="A31" s="65"/>
      <c r="B31" s="66" t="s">
        <v>37</v>
      </c>
      <c r="C31" s="67"/>
      <c r="D31" s="68">
        <f t="shared" ref="D31:P31" si="2">COUNTIF(D$4:D$28,"Ni de acuerdo ni desacuerdo")/24</f>
        <v>0.04166666667</v>
      </c>
      <c r="E31" s="69">
        <f t="shared" si="2"/>
        <v>0.08333333333</v>
      </c>
      <c r="F31" s="68">
        <f t="shared" si="2"/>
        <v>0.2083333333</v>
      </c>
      <c r="G31" s="69">
        <f t="shared" si="2"/>
        <v>0.375</v>
      </c>
      <c r="H31" s="70">
        <f t="shared" si="2"/>
        <v>0.125</v>
      </c>
      <c r="I31" s="71">
        <f t="shared" si="2"/>
        <v>0.125</v>
      </c>
      <c r="J31" s="72">
        <f t="shared" si="2"/>
        <v>0.1666666667</v>
      </c>
      <c r="K31" s="69">
        <f t="shared" si="2"/>
        <v>0.04166666667</v>
      </c>
      <c r="L31" s="68">
        <f t="shared" si="2"/>
        <v>0</v>
      </c>
      <c r="M31" s="69">
        <f t="shared" si="2"/>
        <v>0.4583333333</v>
      </c>
      <c r="N31" s="68">
        <f t="shared" si="2"/>
        <v>0.1666666667</v>
      </c>
      <c r="O31" s="69">
        <f t="shared" si="2"/>
        <v>0.125</v>
      </c>
      <c r="P31" s="68">
        <f t="shared" si="2"/>
        <v>0.125</v>
      </c>
    </row>
    <row r="32">
      <c r="A32" s="65"/>
      <c r="B32" s="66" t="s">
        <v>36</v>
      </c>
      <c r="C32" s="67"/>
      <c r="D32" s="68">
        <f t="shared" ref="D32:P32" si="3">COUNTIF(D$4:D$28,"Parcialmente de acuerdo")/24</f>
        <v>0</v>
      </c>
      <c r="E32" s="69">
        <f t="shared" si="3"/>
        <v>0.2916666667</v>
      </c>
      <c r="F32" s="68">
        <f t="shared" si="3"/>
        <v>0.375</v>
      </c>
      <c r="G32" s="69">
        <f t="shared" si="3"/>
        <v>0.2916666667</v>
      </c>
      <c r="H32" s="70">
        <f t="shared" si="3"/>
        <v>0.25</v>
      </c>
      <c r="I32" s="71">
        <f t="shared" si="3"/>
        <v>0.1666666667</v>
      </c>
      <c r="J32" s="72">
        <f t="shared" si="3"/>
        <v>0.04166666667</v>
      </c>
      <c r="K32" s="69">
        <f t="shared" si="3"/>
        <v>0.4166666667</v>
      </c>
      <c r="L32" s="68">
        <f t="shared" si="3"/>
        <v>0.5416666667</v>
      </c>
      <c r="M32" s="69">
        <f t="shared" si="3"/>
        <v>0.375</v>
      </c>
      <c r="N32" s="68">
        <f t="shared" si="3"/>
        <v>0.3333333333</v>
      </c>
      <c r="O32" s="69">
        <f t="shared" si="3"/>
        <v>0.5416666667</v>
      </c>
      <c r="P32" s="68">
        <f t="shared" si="3"/>
        <v>0.1666666667</v>
      </c>
    </row>
    <row r="33">
      <c r="A33" s="65"/>
      <c r="B33" s="66" t="s">
        <v>35</v>
      </c>
      <c r="C33" s="67"/>
      <c r="D33" s="68">
        <f t="shared" ref="D33:P33" si="4">COUNTIF(D$4:D$28,"Totalmente de acuerdo")/24</f>
        <v>0</v>
      </c>
      <c r="E33" s="69">
        <f t="shared" si="4"/>
        <v>0.5833333333</v>
      </c>
      <c r="F33" s="68">
        <f t="shared" si="4"/>
        <v>0.25</v>
      </c>
      <c r="G33" s="69">
        <f t="shared" si="4"/>
        <v>0.2083333333</v>
      </c>
      <c r="H33" s="70">
        <f t="shared" si="4"/>
        <v>0.625</v>
      </c>
      <c r="I33" s="71">
        <f t="shared" si="4"/>
        <v>0.6666666667</v>
      </c>
      <c r="J33" s="72">
        <f t="shared" si="4"/>
        <v>0.5</v>
      </c>
      <c r="K33" s="69">
        <f t="shared" si="4"/>
        <v>0.5416666667</v>
      </c>
      <c r="L33" s="68">
        <f t="shared" si="4"/>
        <v>0.4166666667</v>
      </c>
      <c r="M33" s="69">
        <f t="shared" si="4"/>
        <v>0.04166666667</v>
      </c>
      <c r="N33" s="68">
        <f t="shared" si="4"/>
        <v>0.375</v>
      </c>
      <c r="O33" s="69">
        <f t="shared" si="4"/>
        <v>0.2916666667</v>
      </c>
      <c r="P33" s="68">
        <f t="shared" si="4"/>
        <v>0.625</v>
      </c>
    </row>
    <row r="34">
      <c r="N34" s="73">
        <f>14/19</f>
        <v>0.7368421053</v>
      </c>
    </row>
    <row r="35">
      <c r="N35" s="73">
        <f>1/19</f>
        <v>0.05263157895</v>
      </c>
    </row>
  </sheetData>
  <mergeCells count="20">
    <mergeCell ref="I1:I3"/>
    <mergeCell ref="J1:J3"/>
    <mergeCell ref="K1:K3"/>
    <mergeCell ref="L1:L3"/>
    <mergeCell ref="M1:M3"/>
    <mergeCell ref="N1:N3"/>
    <mergeCell ref="O1:O3"/>
    <mergeCell ref="P1:P3"/>
    <mergeCell ref="B29:C29"/>
    <mergeCell ref="B30:C30"/>
    <mergeCell ref="B31:C31"/>
    <mergeCell ref="B32:C32"/>
    <mergeCell ref="B33:C33"/>
    <mergeCell ref="B1:B3"/>
    <mergeCell ref="C1:C3"/>
    <mergeCell ref="D1:D3"/>
    <mergeCell ref="E1:E3"/>
    <mergeCell ref="F1:F3"/>
    <mergeCell ref="G1:G3"/>
    <mergeCell ref="H1:H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28.88"/>
    <col customWidth="1" min="4" max="4" width="14.38"/>
    <col customWidth="1" min="5" max="5" width="20.13"/>
    <col customWidth="1" min="6" max="6" width="16.88"/>
    <col customWidth="1" min="7" max="7" width="16.13"/>
    <col customWidth="1" min="8" max="8" width="16.0"/>
    <col customWidth="1" min="9" max="9" width="3.38"/>
    <col customWidth="1" min="10" max="10" width="3.25"/>
    <col customWidth="1" min="11" max="11" width="28.75"/>
    <col customWidth="1" min="12" max="12" width="16.0"/>
    <col customWidth="1" min="13" max="13" width="15.0"/>
    <col customWidth="1" min="14" max="14" width="19.88"/>
    <col customWidth="1" min="16" max="16" width="25.75"/>
    <col customWidth="1" min="17" max="17" width="11.88"/>
    <col customWidth="1" min="18" max="18" width="16.0"/>
    <col customWidth="1" min="19" max="19" width="11.5"/>
    <col customWidth="1" min="22" max="22" width="7.0"/>
    <col customWidth="1" min="23" max="23" width="21.38"/>
    <col customWidth="1" min="25" max="25" width="16.88"/>
  </cols>
  <sheetData>
    <row r="1">
      <c r="A1" s="74" t="s">
        <v>316</v>
      </c>
      <c r="B1" s="75" t="s">
        <v>223</v>
      </c>
      <c r="C1" s="75" t="s">
        <v>317</v>
      </c>
      <c r="D1" s="75" t="s">
        <v>318</v>
      </c>
      <c r="E1" s="75" t="s">
        <v>319</v>
      </c>
      <c r="F1" s="75" t="s">
        <v>320</v>
      </c>
      <c r="G1" s="75" t="s">
        <v>321</v>
      </c>
      <c r="H1" s="75" t="s">
        <v>322</v>
      </c>
      <c r="K1" s="76" t="s">
        <v>323</v>
      </c>
    </row>
    <row r="2">
      <c r="A2" s="32"/>
      <c r="B2" s="32"/>
      <c r="C2" s="32"/>
      <c r="D2" s="32"/>
      <c r="E2" s="32"/>
      <c r="F2" s="32"/>
      <c r="G2" s="32"/>
      <c r="H2" s="32"/>
      <c r="K2" s="77" t="s">
        <v>223</v>
      </c>
      <c r="L2" s="77" t="s">
        <v>232</v>
      </c>
      <c r="M2" s="77" t="s">
        <v>227</v>
      </c>
      <c r="O2" s="78"/>
      <c r="V2" s="74" t="s">
        <v>316</v>
      </c>
      <c r="W2" s="75" t="s">
        <v>223</v>
      </c>
      <c r="X2" s="75" t="s">
        <v>317</v>
      </c>
      <c r="Y2" s="75" t="s">
        <v>321</v>
      </c>
    </row>
    <row r="3">
      <c r="A3" s="79">
        <v>2.0</v>
      </c>
      <c r="B3" s="80" t="s">
        <v>324</v>
      </c>
      <c r="C3" s="80" t="s">
        <v>226</v>
      </c>
      <c r="D3" s="81" t="s">
        <v>228</v>
      </c>
      <c r="E3" s="80" t="s">
        <v>325</v>
      </c>
      <c r="F3" s="80">
        <v>60.0</v>
      </c>
      <c r="G3" s="82">
        <v>3.0</v>
      </c>
      <c r="H3" s="80" t="s">
        <v>326</v>
      </c>
      <c r="I3" s="3">
        <v>1.0</v>
      </c>
      <c r="J3" s="77">
        <v>7.0</v>
      </c>
      <c r="K3" s="28" t="s">
        <v>59</v>
      </c>
      <c r="L3" s="83">
        <v>83.0</v>
      </c>
      <c r="M3" s="84">
        <v>1.0</v>
      </c>
      <c r="O3" s="85"/>
      <c r="V3" s="32"/>
      <c r="W3" s="32"/>
      <c r="X3" s="32"/>
      <c r="Y3" s="32"/>
    </row>
    <row r="4">
      <c r="A4" s="86">
        <v>3.0</v>
      </c>
      <c r="B4" s="87" t="s">
        <v>59</v>
      </c>
      <c r="C4" s="87" t="s">
        <v>226</v>
      </c>
      <c r="D4" s="88">
        <v>2.0</v>
      </c>
      <c r="E4" s="87" t="s">
        <v>60</v>
      </c>
      <c r="F4" s="87">
        <v>80.0</v>
      </c>
      <c r="G4" s="89">
        <v>2.0</v>
      </c>
      <c r="H4" s="87" t="s">
        <v>326</v>
      </c>
      <c r="I4" s="3">
        <v>2.0</v>
      </c>
      <c r="J4" s="77">
        <v>13.0</v>
      </c>
      <c r="K4" s="28" t="s">
        <v>252</v>
      </c>
      <c r="L4" s="83">
        <v>65.0</v>
      </c>
      <c r="M4" s="84">
        <v>1.0</v>
      </c>
      <c r="O4" s="85"/>
      <c r="V4" s="77">
        <v>2.0</v>
      </c>
      <c r="W4" s="28" t="s">
        <v>224</v>
      </c>
      <c r="X4" s="90" t="s">
        <v>226</v>
      </c>
      <c r="Y4" s="91">
        <v>3.0</v>
      </c>
    </row>
    <row r="5">
      <c r="A5" s="86">
        <v>4.0</v>
      </c>
      <c r="B5" s="87" t="s">
        <v>59</v>
      </c>
      <c r="C5" s="87" t="s">
        <v>226</v>
      </c>
      <c r="D5" s="88">
        <v>5.0</v>
      </c>
      <c r="E5" s="87" t="s">
        <v>60</v>
      </c>
      <c r="F5" s="87">
        <v>78.0</v>
      </c>
      <c r="G5" s="89" t="s">
        <v>231</v>
      </c>
      <c r="H5" s="87" t="s">
        <v>326</v>
      </c>
      <c r="I5" s="3">
        <v>3.0</v>
      </c>
      <c r="J5" s="77">
        <v>15.0</v>
      </c>
      <c r="K5" s="28" t="s">
        <v>137</v>
      </c>
      <c r="L5" s="83">
        <v>95.0</v>
      </c>
      <c r="M5" s="84">
        <v>1.0</v>
      </c>
      <c r="O5" s="85"/>
      <c r="V5" s="77">
        <v>3.0</v>
      </c>
      <c r="W5" s="28" t="s">
        <v>59</v>
      </c>
      <c r="X5" s="90" t="s">
        <v>226</v>
      </c>
      <c r="Y5" s="91">
        <v>2.0</v>
      </c>
    </row>
    <row r="6">
      <c r="A6" s="86">
        <v>5.0</v>
      </c>
      <c r="B6" s="87" t="s">
        <v>59</v>
      </c>
      <c r="C6" s="87" t="s">
        <v>226</v>
      </c>
      <c r="D6" s="88" t="s">
        <v>228</v>
      </c>
      <c r="E6" s="87" t="s">
        <v>60</v>
      </c>
      <c r="F6" s="87">
        <v>70.0</v>
      </c>
      <c r="G6" s="89" t="s">
        <v>231</v>
      </c>
      <c r="H6" s="87" t="s">
        <v>326</v>
      </c>
      <c r="I6" s="3">
        <v>4.0</v>
      </c>
      <c r="J6" s="77">
        <v>16.0</v>
      </c>
      <c r="K6" s="28" t="s">
        <v>263</v>
      </c>
      <c r="L6" s="83">
        <v>60.0</v>
      </c>
      <c r="M6" s="84">
        <v>1.0</v>
      </c>
      <c r="O6" s="85"/>
      <c r="V6" s="77">
        <v>4.0</v>
      </c>
      <c r="W6" s="28" t="s">
        <v>59</v>
      </c>
      <c r="X6" s="90" t="s">
        <v>226</v>
      </c>
      <c r="Y6" s="91" t="s">
        <v>231</v>
      </c>
    </row>
    <row r="7">
      <c r="A7" s="86">
        <v>6.0</v>
      </c>
      <c r="B7" s="87" t="s">
        <v>59</v>
      </c>
      <c r="C7" s="87" t="s">
        <v>226</v>
      </c>
      <c r="D7" s="88">
        <v>8.0</v>
      </c>
      <c r="E7" s="87" t="s">
        <v>60</v>
      </c>
      <c r="F7" s="87">
        <v>80.0</v>
      </c>
      <c r="G7" s="89">
        <v>2.0</v>
      </c>
      <c r="H7" s="87" t="s">
        <v>326</v>
      </c>
      <c r="I7" s="3">
        <v>5.0</v>
      </c>
      <c r="J7" s="77">
        <v>18.0</v>
      </c>
      <c r="K7" s="28" t="s">
        <v>276</v>
      </c>
      <c r="L7" s="83">
        <v>70.0</v>
      </c>
      <c r="M7" s="84">
        <v>1.0</v>
      </c>
      <c r="O7" s="85"/>
      <c r="V7" s="77">
        <v>5.0</v>
      </c>
      <c r="W7" s="28" t="s">
        <v>59</v>
      </c>
      <c r="X7" s="90" t="s">
        <v>226</v>
      </c>
      <c r="Y7" s="91" t="s">
        <v>231</v>
      </c>
    </row>
    <row r="8">
      <c r="A8" s="86">
        <v>7.0</v>
      </c>
      <c r="B8" s="87" t="s">
        <v>59</v>
      </c>
      <c r="C8" s="87" t="s">
        <v>226</v>
      </c>
      <c r="D8" s="88">
        <v>1.0</v>
      </c>
      <c r="E8" s="87" t="s">
        <v>60</v>
      </c>
      <c r="F8" s="87">
        <v>60.0</v>
      </c>
      <c r="G8" s="89">
        <v>2.0</v>
      </c>
      <c r="H8" s="87" t="s">
        <v>326</v>
      </c>
      <c r="I8" s="3">
        <v>6.0</v>
      </c>
      <c r="J8" s="77">
        <v>21.0</v>
      </c>
      <c r="K8" s="28" t="s">
        <v>59</v>
      </c>
      <c r="L8" s="83">
        <v>83.0</v>
      </c>
      <c r="M8" s="84">
        <v>1.0</v>
      </c>
      <c r="O8" s="85"/>
      <c r="V8" s="77">
        <v>6.0</v>
      </c>
      <c r="W8" s="28" t="s">
        <v>59</v>
      </c>
      <c r="X8" s="90" t="s">
        <v>226</v>
      </c>
      <c r="Y8" s="91">
        <v>2.0</v>
      </c>
    </row>
    <row r="9">
      <c r="A9" s="86">
        <v>8.0</v>
      </c>
      <c r="B9" s="87" t="s">
        <v>59</v>
      </c>
      <c r="C9" s="87" t="s">
        <v>226</v>
      </c>
      <c r="D9" s="88">
        <v>6.0</v>
      </c>
      <c r="E9" s="87" t="s">
        <v>60</v>
      </c>
      <c r="F9" s="87">
        <v>74.0</v>
      </c>
      <c r="G9" s="89">
        <v>2.0</v>
      </c>
      <c r="H9" s="87" t="s">
        <v>326</v>
      </c>
      <c r="I9" s="3">
        <v>7.0</v>
      </c>
      <c r="J9" s="77">
        <v>22.0</v>
      </c>
      <c r="K9" s="92" t="s">
        <v>183</v>
      </c>
      <c r="L9" s="83">
        <v>98.0</v>
      </c>
      <c r="M9" s="84">
        <v>1.0</v>
      </c>
      <c r="O9" s="85"/>
      <c r="V9" s="77">
        <v>7.0</v>
      </c>
      <c r="W9" s="28" t="s">
        <v>59</v>
      </c>
      <c r="X9" s="90" t="s">
        <v>226</v>
      </c>
      <c r="Y9" s="91">
        <v>2.0</v>
      </c>
    </row>
    <row r="10">
      <c r="A10" s="86">
        <v>9.0</v>
      </c>
      <c r="B10" s="87" t="s">
        <v>59</v>
      </c>
      <c r="C10" s="87" t="s">
        <v>226</v>
      </c>
      <c r="D10" s="88" t="s">
        <v>228</v>
      </c>
      <c r="E10" s="87" t="s">
        <v>60</v>
      </c>
      <c r="F10" s="87">
        <v>83.0</v>
      </c>
      <c r="G10" s="89">
        <v>1.0</v>
      </c>
      <c r="H10" s="87" t="s">
        <v>326</v>
      </c>
      <c r="J10" s="93" t="s">
        <v>327</v>
      </c>
      <c r="K10" s="94"/>
      <c r="L10" s="95"/>
      <c r="M10" s="96">
        <f>AVERAGEA(L3:L9)</f>
        <v>79.14285714</v>
      </c>
      <c r="V10" s="77">
        <v>8.0</v>
      </c>
      <c r="W10" s="28" t="s">
        <v>59</v>
      </c>
      <c r="X10" s="90" t="s">
        <v>226</v>
      </c>
      <c r="Y10" s="91">
        <v>2.0</v>
      </c>
    </row>
    <row r="11">
      <c r="A11" s="97">
        <v>10.0</v>
      </c>
      <c r="B11" s="98" t="s">
        <v>252</v>
      </c>
      <c r="C11" s="98" t="s">
        <v>226</v>
      </c>
      <c r="D11" s="99">
        <v>25.0</v>
      </c>
      <c r="E11" s="98" t="s">
        <v>325</v>
      </c>
      <c r="F11" s="98">
        <v>80.0</v>
      </c>
      <c r="G11" s="100" t="s">
        <v>231</v>
      </c>
      <c r="H11" s="98" t="s">
        <v>231</v>
      </c>
      <c r="I11" s="3"/>
      <c r="J11" s="93" t="s">
        <v>328</v>
      </c>
      <c r="K11" s="94"/>
      <c r="L11" s="101"/>
      <c r="M11" s="102">
        <f>MODE(L3:L9)</f>
        <v>83</v>
      </c>
      <c r="V11" s="77">
        <v>9.0</v>
      </c>
      <c r="W11" s="28" t="s">
        <v>59</v>
      </c>
      <c r="X11" s="90" t="s">
        <v>226</v>
      </c>
      <c r="Y11" s="91">
        <v>1.0</v>
      </c>
    </row>
    <row r="12">
      <c r="A12" s="97">
        <v>11.0</v>
      </c>
      <c r="B12" s="98" t="s">
        <v>252</v>
      </c>
      <c r="C12" s="98" t="s">
        <v>226</v>
      </c>
      <c r="D12" s="103">
        <v>45047.0</v>
      </c>
      <c r="E12" s="98" t="s">
        <v>325</v>
      </c>
      <c r="F12" s="98">
        <v>85.0</v>
      </c>
      <c r="G12" s="100">
        <v>2.0</v>
      </c>
      <c r="H12" s="98" t="s">
        <v>326</v>
      </c>
      <c r="I12" s="3" t="s">
        <v>329</v>
      </c>
      <c r="J12" s="77">
        <v>2.0</v>
      </c>
      <c r="K12" s="92" t="s">
        <v>330</v>
      </c>
      <c r="L12" s="28">
        <v>60.0</v>
      </c>
      <c r="M12" s="84" t="s">
        <v>228</v>
      </c>
      <c r="V12" s="77">
        <v>10.0</v>
      </c>
      <c r="W12" s="28" t="s">
        <v>251</v>
      </c>
      <c r="X12" s="90" t="s">
        <v>226</v>
      </c>
      <c r="Y12" s="91" t="s">
        <v>231</v>
      </c>
    </row>
    <row r="13">
      <c r="A13" s="77">
        <v>12.0</v>
      </c>
      <c r="B13" s="28" t="s">
        <v>261</v>
      </c>
      <c r="C13" s="90" t="s">
        <v>226</v>
      </c>
      <c r="D13" s="104" t="s">
        <v>228</v>
      </c>
      <c r="E13" s="90" t="s">
        <v>60</v>
      </c>
      <c r="F13" s="90">
        <v>90.0</v>
      </c>
      <c r="G13" s="91">
        <v>3.0</v>
      </c>
      <c r="H13" s="90" t="s">
        <v>326</v>
      </c>
      <c r="J13" s="77">
        <v>5.0</v>
      </c>
      <c r="K13" s="28" t="s">
        <v>59</v>
      </c>
      <c r="L13" s="28">
        <v>37.0</v>
      </c>
      <c r="M13" s="84" t="s">
        <v>228</v>
      </c>
      <c r="V13" s="77">
        <v>11.0</v>
      </c>
      <c r="W13" s="28" t="s">
        <v>252</v>
      </c>
      <c r="X13" s="90" t="s">
        <v>226</v>
      </c>
      <c r="Y13" s="91">
        <v>2.0</v>
      </c>
    </row>
    <row r="14">
      <c r="A14" s="97">
        <v>13.0</v>
      </c>
      <c r="B14" s="98" t="s">
        <v>252</v>
      </c>
      <c r="C14" s="98" t="s">
        <v>226</v>
      </c>
      <c r="D14" s="99">
        <v>1.0</v>
      </c>
      <c r="E14" s="98" t="s">
        <v>325</v>
      </c>
      <c r="F14" s="98">
        <v>65.0</v>
      </c>
      <c r="G14" s="100">
        <v>2.0</v>
      </c>
      <c r="H14" s="98" t="s">
        <v>231</v>
      </c>
      <c r="J14" s="77">
        <v>9.0</v>
      </c>
      <c r="K14" s="28" t="s">
        <v>59</v>
      </c>
      <c r="L14" s="28">
        <v>22.0</v>
      </c>
      <c r="M14" s="84" t="s">
        <v>228</v>
      </c>
      <c r="V14" s="77">
        <v>12.0</v>
      </c>
      <c r="W14" s="28" t="s">
        <v>261</v>
      </c>
      <c r="X14" s="90" t="s">
        <v>226</v>
      </c>
      <c r="Y14" s="91">
        <v>3.0</v>
      </c>
    </row>
    <row r="15">
      <c r="A15" s="97">
        <v>14.0</v>
      </c>
      <c r="B15" s="98" t="s">
        <v>252</v>
      </c>
      <c r="C15" s="98" t="s">
        <v>226</v>
      </c>
      <c r="D15" s="99" t="s">
        <v>228</v>
      </c>
      <c r="E15" s="98" t="s">
        <v>325</v>
      </c>
      <c r="F15" s="98">
        <v>75.0</v>
      </c>
      <c r="G15" s="100">
        <v>2.0</v>
      </c>
      <c r="H15" s="98" t="s">
        <v>326</v>
      </c>
      <c r="J15" s="77">
        <v>12.0</v>
      </c>
      <c r="K15" s="28" t="s">
        <v>261</v>
      </c>
      <c r="L15" s="28">
        <v>90.0</v>
      </c>
      <c r="M15" s="84" t="s">
        <v>228</v>
      </c>
      <c r="V15" s="77">
        <v>13.0</v>
      </c>
      <c r="W15" s="28" t="s">
        <v>252</v>
      </c>
      <c r="X15" s="90" t="s">
        <v>226</v>
      </c>
      <c r="Y15" s="91">
        <v>2.0</v>
      </c>
    </row>
    <row r="16">
      <c r="A16" s="77">
        <v>15.0</v>
      </c>
      <c r="B16" s="28" t="s">
        <v>137</v>
      </c>
      <c r="C16" s="90" t="s">
        <v>226</v>
      </c>
      <c r="D16" s="104">
        <v>1.0</v>
      </c>
      <c r="E16" s="90" t="s">
        <v>325</v>
      </c>
      <c r="F16" s="90">
        <v>95.0</v>
      </c>
      <c r="G16" s="91">
        <v>1.0</v>
      </c>
      <c r="H16" s="90" t="s">
        <v>231</v>
      </c>
      <c r="J16" s="77">
        <v>17.0</v>
      </c>
      <c r="K16" s="28" t="s">
        <v>275</v>
      </c>
      <c r="L16" s="28">
        <v>78.0</v>
      </c>
      <c r="M16" s="84" t="s">
        <v>228</v>
      </c>
      <c r="V16" s="77">
        <v>14.0</v>
      </c>
      <c r="W16" s="28" t="s">
        <v>262</v>
      </c>
      <c r="X16" s="90" t="s">
        <v>226</v>
      </c>
      <c r="Y16" s="91">
        <v>2.0</v>
      </c>
    </row>
    <row r="17">
      <c r="A17" s="97">
        <v>16.0</v>
      </c>
      <c r="B17" s="98" t="s">
        <v>252</v>
      </c>
      <c r="C17" s="98" t="s">
        <v>226</v>
      </c>
      <c r="D17" s="99">
        <v>1.0</v>
      </c>
      <c r="E17" s="98" t="s">
        <v>60</v>
      </c>
      <c r="F17" s="98">
        <v>60.0</v>
      </c>
      <c r="G17" s="100">
        <v>3.0</v>
      </c>
      <c r="H17" s="98" t="s">
        <v>326</v>
      </c>
      <c r="J17" s="105" t="s">
        <v>327</v>
      </c>
      <c r="K17" s="106"/>
      <c r="L17" s="107"/>
      <c r="M17" s="108">
        <f>AVERAGEA(L12:L16)</f>
        <v>57.4</v>
      </c>
      <c r="V17" s="77">
        <v>15.0</v>
      </c>
      <c r="W17" s="28" t="s">
        <v>137</v>
      </c>
      <c r="X17" s="90" t="s">
        <v>226</v>
      </c>
      <c r="Y17" s="91">
        <v>1.0</v>
      </c>
    </row>
    <row r="18">
      <c r="A18" s="97">
        <v>17.0</v>
      </c>
      <c r="B18" s="98" t="s">
        <v>252</v>
      </c>
      <c r="C18" s="98" t="s">
        <v>226</v>
      </c>
      <c r="D18" s="99" t="s">
        <v>228</v>
      </c>
      <c r="E18" s="98" t="s">
        <v>60</v>
      </c>
      <c r="F18" s="98">
        <v>78.0</v>
      </c>
      <c r="G18" s="100">
        <v>2.0</v>
      </c>
      <c r="H18" s="98" t="s">
        <v>326</v>
      </c>
      <c r="J18" s="109"/>
      <c r="V18" s="77">
        <v>16.0</v>
      </c>
      <c r="W18" s="28" t="s">
        <v>263</v>
      </c>
      <c r="X18" s="90" t="s">
        <v>226</v>
      </c>
      <c r="Y18" s="91">
        <v>3.0</v>
      </c>
    </row>
    <row r="19">
      <c r="A19" s="77">
        <v>18.0</v>
      </c>
      <c r="B19" s="28" t="s">
        <v>276</v>
      </c>
      <c r="C19" s="90" t="s">
        <v>226</v>
      </c>
      <c r="D19" s="104">
        <v>1.0</v>
      </c>
      <c r="E19" s="90" t="s">
        <v>60</v>
      </c>
      <c r="F19" s="90">
        <v>70.0</v>
      </c>
      <c r="G19" s="91">
        <v>2.0</v>
      </c>
      <c r="H19" s="90" t="s">
        <v>326</v>
      </c>
      <c r="J19" s="78"/>
      <c r="K19" s="110" t="s">
        <v>331</v>
      </c>
      <c r="L19" s="85"/>
      <c r="M19" s="111"/>
      <c r="N19" s="85"/>
      <c r="V19" s="77">
        <v>17.0</v>
      </c>
      <c r="W19" s="28" t="s">
        <v>275</v>
      </c>
      <c r="X19" s="90" t="s">
        <v>226</v>
      </c>
      <c r="Y19" s="91">
        <v>2.0</v>
      </c>
    </row>
    <row r="20">
      <c r="A20" s="97">
        <v>19.0</v>
      </c>
      <c r="B20" s="98" t="s">
        <v>252</v>
      </c>
      <c r="C20" s="98" t="s">
        <v>226</v>
      </c>
      <c r="D20" s="103">
        <v>45047.0</v>
      </c>
      <c r="E20" s="98" t="s">
        <v>325</v>
      </c>
      <c r="F20" s="98">
        <v>50.0</v>
      </c>
      <c r="G20" s="100">
        <v>1.0</v>
      </c>
      <c r="H20" s="98" t="s">
        <v>326</v>
      </c>
      <c r="J20" s="112" t="s">
        <v>332</v>
      </c>
      <c r="K20" s="112" t="s">
        <v>333</v>
      </c>
      <c r="L20" s="112" t="s">
        <v>326</v>
      </c>
      <c r="M20" s="112" t="s">
        <v>334</v>
      </c>
      <c r="N20" s="112" t="s">
        <v>335</v>
      </c>
      <c r="V20" s="77">
        <v>18.0</v>
      </c>
      <c r="W20" s="28" t="s">
        <v>276</v>
      </c>
      <c r="X20" s="90" t="s">
        <v>226</v>
      </c>
      <c r="Y20" s="91">
        <v>2.0</v>
      </c>
    </row>
    <row r="21">
      <c r="A21" s="25">
        <v>21.0</v>
      </c>
      <c r="B21" s="87" t="s">
        <v>59</v>
      </c>
      <c r="C21" s="87" t="s">
        <v>279</v>
      </c>
      <c r="D21" s="88">
        <v>1.0</v>
      </c>
      <c r="E21" s="87" t="s">
        <v>60</v>
      </c>
      <c r="F21" s="87">
        <v>83.0</v>
      </c>
      <c r="G21" s="89">
        <v>2.0</v>
      </c>
      <c r="H21" s="87" t="s">
        <v>326</v>
      </c>
      <c r="J21" s="28">
        <f>COUNTIF(C3:C26,"MAIZ")</f>
        <v>19</v>
      </c>
      <c r="K21" s="28" t="s">
        <v>226</v>
      </c>
      <c r="L21" s="83">
        <v>15.0</v>
      </c>
      <c r="M21" s="83">
        <v>4.0</v>
      </c>
      <c r="N21" s="113">
        <f>AVERAGE(G3:G22)</f>
        <v>2</v>
      </c>
      <c r="O21" s="73"/>
      <c r="P21" s="112" t="s">
        <v>336</v>
      </c>
      <c r="Q21" s="112" t="s">
        <v>327</v>
      </c>
      <c r="R21" s="112" t="s">
        <v>333</v>
      </c>
      <c r="S21" s="112" t="s">
        <v>327</v>
      </c>
      <c r="V21" s="77">
        <v>19.0</v>
      </c>
      <c r="W21" s="28" t="s">
        <v>277</v>
      </c>
      <c r="X21" s="90" t="s">
        <v>226</v>
      </c>
      <c r="Y21" s="91">
        <v>1.0</v>
      </c>
    </row>
    <row r="22">
      <c r="A22" s="114">
        <v>22.0</v>
      </c>
      <c r="B22" s="115" t="s">
        <v>288</v>
      </c>
      <c r="C22" s="115" t="s">
        <v>226</v>
      </c>
      <c r="D22" s="116">
        <v>1.0</v>
      </c>
      <c r="E22" s="115" t="s">
        <v>325</v>
      </c>
      <c r="F22" s="115">
        <v>98.0</v>
      </c>
      <c r="G22" s="117">
        <v>2.0</v>
      </c>
      <c r="H22" s="115" t="s">
        <v>231</v>
      </c>
      <c r="J22" s="28">
        <f>COUNTIF(C3:C26,"SORGO")</f>
        <v>3</v>
      </c>
      <c r="K22" s="28" t="s">
        <v>279</v>
      </c>
      <c r="L22" s="83">
        <v>3.0</v>
      </c>
      <c r="M22" s="83">
        <v>0.0</v>
      </c>
      <c r="N22" s="83">
        <f>AVERAGE(G23:G24,C21)</f>
        <v>1.25</v>
      </c>
      <c r="O22" s="73"/>
      <c r="P22" s="118" t="s">
        <v>59</v>
      </c>
      <c r="Q22" s="83">
        <f>AVERAGEIF(B3:B25,"BIOPRO",G3:G26)</f>
        <v>1.785714286</v>
      </c>
      <c r="R22" s="28" t="s">
        <v>226</v>
      </c>
      <c r="S22" s="119">
        <f>AVERAGEIF($C$3:$C$26,"MAIZ",$G$3:$G$26)</f>
        <v>2</v>
      </c>
      <c r="V22" s="77">
        <v>22.0</v>
      </c>
      <c r="W22" s="120" t="s">
        <v>183</v>
      </c>
      <c r="X22" s="90" t="s">
        <v>226</v>
      </c>
      <c r="Y22" s="91">
        <v>2.0</v>
      </c>
    </row>
    <row r="23">
      <c r="A23" s="86">
        <v>20.0</v>
      </c>
      <c r="B23" s="87" t="s">
        <v>59</v>
      </c>
      <c r="C23" s="87" t="s">
        <v>279</v>
      </c>
      <c r="D23" s="88" t="s">
        <v>228</v>
      </c>
      <c r="E23" s="87" t="s">
        <v>60</v>
      </c>
      <c r="F23" s="87">
        <v>80.0</v>
      </c>
      <c r="G23" s="88">
        <v>1.5</v>
      </c>
      <c r="H23" s="87" t="s">
        <v>326</v>
      </c>
      <c r="J23" s="28">
        <f>COUNTIF(C3:C26,"ARROZ")</f>
        <v>2</v>
      </c>
      <c r="K23" s="28" t="s">
        <v>291</v>
      </c>
      <c r="L23" s="83">
        <v>1.0</v>
      </c>
      <c r="M23" s="83">
        <v>2.0</v>
      </c>
      <c r="N23" s="121">
        <f>AVERAGE(G25:G26)</f>
        <v>3</v>
      </c>
      <c r="O23" s="73"/>
      <c r="P23" s="118" t="s">
        <v>252</v>
      </c>
      <c r="Q23" s="83">
        <f>AVERAGEIF(B3:B26,"BIOAMIGO",G3:G26)</f>
        <v>2</v>
      </c>
      <c r="R23" s="28" t="s">
        <v>279</v>
      </c>
      <c r="S23" s="119">
        <f>AVERAGEIF($C$3:$C$26,"SORGO",$G$3:$G$26)</f>
        <v>1.5</v>
      </c>
      <c r="V23" s="77">
        <v>21.0</v>
      </c>
      <c r="W23" s="28" t="s">
        <v>59</v>
      </c>
      <c r="X23" s="90" t="s">
        <v>279</v>
      </c>
      <c r="Y23" s="91">
        <v>2.0</v>
      </c>
    </row>
    <row r="24">
      <c r="A24" s="122">
        <v>24.0</v>
      </c>
      <c r="B24" s="123" t="s">
        <v>288</v>
      </c>
      <c r="C24" s="123" t="s">
        <v>279</v>
      </c>
      <c r="D24" s="124">
        <v>1.0</v>
      </c>
      <c r="E24" s="123" t="s">
        <v>325</v>
      </c>
      <c r="F24" s="123"/>
      <c r="G24" s="117">
        <v>1.0</v>
      </c>
      <c r="H24" s="115" t="s">
        <v>326</v>
      </c>
      <c r="J24" s="112" t="s">
        <v>332</v>
      </c>
      <c r="K24" s="112" t="s">
        <v>336</v>
      </c>
      <c r="L24" s="112" t="s">
        <v>326</v>
      </c>
      <c r="M24" s="112" t="s">
        <v>334</v>
      </c>
      <c r="N24" s="112" t="s">
        <v>335</v>
      </c>
      <c r="P24" s="118" t="s">
        <v>337</v>
      </c>
      <c r="Q24" s="83">
        <f>AVERAGE(G13,G16,G19)</f>
        <v>2</v>
      </c>
      <c r="R24" s="28" t="s">
        <v>291</v>
      </c>
      <c r="S24" s="119">
        <f>AVERAGEIF($C$3:$C$26,"ARROZ",$G$3:$G$26)</f>
        <v>3</v>
      </c>
      <c r="V24" s="77">
        <v>20.0</v>
      </c>
      <c r="W24" s="28" t="s">
        <v>59</v>
      </c>
      <c r="X24" s="125" t="s">
        <v>279</v>
      </c>
      <c r="Y24" s="126">
        <v>1.5</v>
      </c>
    </row>
    <row r="25">
      <c r="A25" s="38">
        <v>25.0</v>
      </c>
      <c r="B25" s="127" t="s">
        <v>290</v>
      </c>
      <c r="C25" s="127" t="s">
        <v>291</v>
      </c>
      <c r="D25" s="128">
        <v>1.0</v>
      </c>
      <c r="E25" s="127" t="s">
        <v>325</v>
      </c>
      <c r="F25" s="127">
        <v>190.0</v>
      </c>
      <c r="G25" s="129">
        <v>3.0</v>
      </c>
      <c r="H25" s="130" t="s">
        <v>231</v>
      </c>
      <c r="J25" s="118">
        <f>COUNTIF(B3:B26,"BIOPRO")</f>
        <v>9</v>
      </c>
      <c r="K25" s="118" t="s">
        <v>59</v>
      </c>
      <c r="L25" s="83">
        <v>9.0</v>
      </c>
      <c r="M25" s="83">
        <v>0.0</v>
      </c>
      <c r="N25" s="121">
        <f>AVERAGE(G4:G11,G23,G21)</f>
        <v>1.785714286</v>
      </c>
      <c r="P25" s="92" t="s">
        <v>183</v>
      </c>
      <c r="Q25" s="83">
        <f>AVERAGEIF(B3:B26,"ORGOSANTO",G3:G28)</f>
        <v>1.5</v>
      </c>
      <c r="R25" s="131"/>
      <c r="S25" s="131"/>
      <c r="V25" s="132">
        <v>24.0</v>
      </c>
      <c r="W25" s="120" t="s">
        <v>183</v>
      </c>
      <c r="X25" s="133" t="s">
        <v>279</v>
      </c>
      <c r="Y25" s="134">
        <v>1.0</v>
      </c>
    </row>
    <row r="26">
      <c r="A26" s="135">
        <v>23.0</v>
      </c>
      <c r="B26" s="136" t="s">
        <v>289</v>
      </c>
      <c r="C26" s="136" t="s">
        <v>291</v>
      </c>
      <c r="D26" s="137" t="s">
        <v>228</v>
      </c>
      <c r="E26" s="136" t="s">
        <v>325</v>
      </c>
      <c r="F26" s="136">
        <v>150.0</v>
      </c>
      <c r="G26" s="138">
        <v>3.0</v>
      </c>
      <c r="H26" s="139" t="s">
        <v>326</v>
      </c>
      <c r="J26" s="118">
        <f>COUNTIF(B3:B26,"BIOAMIGO")</f>
        <v>7</v>
      </c>
      <c r="K26" s="118" t="s">
        <v>252</v>
      </c>
      <c r="L26" s="83">
        <v>5.0</v>
      </c>
      <c r="M26" s="83">
        <v>2.0</v>
      </c>
      <c r="N26" s="121">
        <f>AVERAGE(G11:G12,G14,G15,G17:G18,G20)</f>
        <v>2</v>
      </c>
      <c r="P26" s="118" t="s">
        <v>290</v>
      </c>
      <c r="Q26" s="83">
        <f>AVERAGEIF(B3:B26,"CROP PLUS",G3:G26)</f>
        <v>3</v>
      </c>
      <c r="R26" s="131"/>
      <c r="S26" s="131"/>
      <c r="V26" s="132"/>
      <c r="W26" s="40"/>
      <c r="X26" s="140"/>
      <c r="Y26" s="141"/>
    </row>
    <row r="27">
      <c r="J27" s="118">
        <v>3.0</v>
      </c>
      <c r="K27" s="118" t="s">
        <v>337</v>
      </c>
      <c r="L27" s="83">
        <v>2.0</v>
      </c>
      <c r="M27" s="83">
        <v>1.0</v>
      </c>
      <c r="N27" s="121">
        <f>AVERAGE(G13,G16,G19)</f>
        <v>2</v>
      </c>
      <c r="P27" s="142" t="s">
        <v>289</v>
      </c>
      <c r="Q27" s="83">
        <f>AVERAGEIF(B3:B26,"ALBAMIN",G3:G26)</f>
        <v>3</v>
      </c>
      <c r="R27" s="131"/>
      <c r="S27" s="131"/>
      <c r="V27" s="132">
        <v>25.0</v>
      </c>
      <c r="W27" s="40" t="s">
        <v>290</v>
      </c>
      <c r="X27" s="140" t="s">
        <v>291</v>
      </c>
      <c r="Y27" s="141">
        <v>3.0</v>
      </c>
    </row>
    <row r="28">
      <c r="B28" s="26" t="s">
        <v>338</v>
      </c>
      <c r="C28" s="143">
        <f>MODE(D3:D26)</f>
        <v>1</v>
      </c>
      <c r="F28" s="3">
        <f>AVERAGEA(F3:F26,F22)</f>
        <v>84.66666667</v>
      </c>
      <c r="G28" s="144">
        <f>AVERAGE(G3:G26)</f>
        <v>2.023809524</v>
      </c>
      <c r="J28" s="118">
        <f>COUNTIF(B3:B26,"ORGOSANTO")</f>
        <v>2</v>
      </c>
      <c r="K28" s="92" t="s">
        <v>183</v>
      </c>
      <c r="L28" s="83">
        <v>1.0</v>
      </c>
      <c r="M28" s="83">
        <v>1.0</v>
      </c>
      <c r="N28" s="121">
        <f>AVERAGE(G22,G24)</f>
        <v>1.5</v>
      </c>
      <c r="P28" s="92" t="s">
        <v>330</v>
      </c>
      <c r="Q28" s="83">
        <f>AVERAGEIF(B3:B26,"NITROESTEN",G3:G26)</f>
        <v>3</v>
      </c>
      <c r="R28" s="131"/>
      <c r="S28" s="131"/>
      <c r="V28" s="132">
        <v>23.0</v>
      </c>
      <c r="W28" s="40" t="s">
        <v>289</v>
      </c>
      <c r="X28" s="140" t="s">
        <v>291</v>
      </c>
      <c r="Y28" s="141">
        <v>3.0</v>
      </c>
    </row>
    <row r="29">
      <c r="B29" s="3"/>
      <c r="C29" s="73"/>
      <c r="D29" s="144"/>
      <c r="E29" s="73"/>
      <c r="G29" s="23">
        <f>MODE(G3:G26)</f>
        <v>2</v>
      </c>
      <c r="J29" s="142">
        <f>COUNTIF(B3:B26,"CROP PLUS")</f>
        <v>1</v>
      </c>
      <c r="K29" s="118" t="s">
        <v>290</v>
      </c>
      <c r="L29" s="83">
        <v>0.0</v>
      </c>
      <c r="M29" s="83">
        <v>1.0</v>
      </c>
      <c r="N29" s="83">
        <v>3.0</v>
      </c>
      <c r="R29" s="131"/>
      <c r="S29" s="131"/>
      <c r="Y29" s="144">
        <f>AVERAGE(Y4:Y28)</f>
        <v>2.023809524</v>
      </c>
    </row>
    <row r="30">
      <c r="J30" s="118">
        <f>COUNTIF(B3:B26,"ALBAMIN")</f>
        <v>1</v>
      </c>
      <c r="K30" s="142" t="s">
        <v>289</v>
      </c>
      <c r="L30" s="83">
        <v>1.0</v>
      </c>
      <c r="M30" s="83">
        <v>0.0</v>
      </c>
      <c r="N30" s="83">
        <v>3.0</v>
      </c>
    </row>
    <row r="31">
      <c r="B31" s="145" t="s">
        <v>339</v>
      </c>
      <c r="C31" s="145" t="s">
        <v>340</v>
      </c>
      <c r="D31" s="145" t="s">
        <v>341</v>
      </c>
      <c r="J31" s="28">
        <f>COUNTIF(B3:B26,"NITROESTEN")</f>
        <v>1</v>
      </c>
      <c r="K31" s="92" t="s">
        <v>330</v>
      </c>
      <c r="L31" s="83">
        <v>1.0</v>
      </c>
      <c r="M31" s="83">
        <v>0.0</v>
      </c>
      <c r="N31" s="83">
        <v>3.0</v>
      </c>
    </row>
    <row r="32">
      <c r="B32" s="26" t="s">
        <v>226</v>
      </c>
      <c r="C32" s="146">
        <f t="shared" ref="C32:C41" si="1">D32/24</f>
        <v>0.7916666667</v>
      </c>
      <c r="D32" s="147">
        <v>19.0</v>
      </c>
      <c r="K32" s="148" t="s">
        <v>342</v>
      </c>
      <c r="L32" s="149" t="s">
        <v>343</v>
      </c>
      <c r="M32" s="150">
        <v>5.0</v>
      </c>
    </row>
    <row r="33">
      <c r="B33" s="26" t="s">
        <v>279</v>
      </c>
      <c r="C33" s="146">
        <f t="shared" si="1"/>
        <v>0.08333333333</v>
      </c>
      <c r="D33" s="147">
        <v>2.0</v>
      </c>
    </row>
    <row r="34">
      <c r="B34" s="26" t="s">
        <v>291</v>
      </c>
      <c r="C34" s="146">
        <f t="shared" si="1"/>
        <v>0.08333333333</v>
      </c>
      <c r="D34" s="147">
        <v>2.0</v>
      </c>
      <c r="L34" s="151"/>
    </row>
    <row r="35">
      <c r="B35" s="26" t="s">
        <v>344</v>
      </c>
      <c r="C35" s="146">
        <f t="shared" si="1"/>
        <v>0.4583333333</v>
      </c>
      <c r="D35" s="147">
        <v>11.0</v>
      </c>
      <c r="L35" s="112" t="s">
        <v>326</v>
      </c>
      <c r="M35" s="112" t="s">
        <v>334</v>
      </c>
    </row>
    <row r="36">
      <c r="B36" s="26" t="s">
        <v>345</v>
      </c>
      <c r="C36" s="146">
        <f t="shared" si="1"/>
        <v>0.5416666667</v>
      </c>
      <c r="D36" s="147">
        <v>13.0</v>
      </c>
      <c r="L36" s="27">
        <f>COUNTIF(H3:H26,"DISMINUCIÓN")</f>
        <v>19</v>
      </c>
      <c r="M36" s="27">
        <f>COUNTIF(H3:H26,"X")</f>
        <v>5</v>
      </c>
    </row>
    <row r="37">
      <c r="B37" s="26" t="s">
        <v>346</v>
      </c>
      <c r="C37" s="146">
        <f t="shared" si="1"/>
        <v>0.7916666667</v>
      </c>
      <c r="D37" s="147">
        <v>19.0</v>
      </c>
    </row>
    <row r="38">
      <c r="B38" s="26" t="s">
        <v>347</v>
      </c>
      <c r="C38" s="146">
        <f t="shared" si="1"/>
        <v>0.2083333333</v>
      </c>
      <c r="D38" s="147">
        <v>5.0</v>
      </c>
      <c r="J38" s="112" t="s">
        <v>332</v>
      </c>
      <c r="K38" s="112" t="s">
        <v>225</v>
      </c>
      <c r="L38" s="112" t="s">
        <v>348</v>
      </c>
    </row>
    <row r="39">
      <c r="B39" s="26" t="s">
        <v>349</v>
      </c>
      <c r="C39" s="146">
        <f t="shared" si="1"/>
        <v>0.3333333333</v>
      </c>
      <c r="D39" s="27">
        <v>8.0</v>
      </c>
      <c r="J39" s="33">
        <f>COUNTIF($C$3:$C$26,"MAIZ")</f>
        <v>19</v>
      </c>
      <c r="K39" s="27" t="s">
        <v>226</v>
      </c>
      <c r="L39" s="152">
        <f>AVERAGE(L3:L9)</f>
        <v>79.14285714</v>
      </c>
    </row>
    <row r="40">
      <c r="B40" s="26" t="s">
        <v>350</v>
      </c>
      <c r="C40" s="146">
        <f t="shared" si="1"/>
        <v>0.5</v>
      </c>
      <c r="D40" s="27">
        <v>12.0</v>
      </c>
      <c r="J40" s="33">
        <f>COUNTIF($C$3:$C$26,"ARROZ")</f>
        <v>2</v>
      </c>
      <c r="K40" s="27" t="s">
        <v>291</v>
      </c>
      <c r="L40" s="33">
        <f>AVERAGE(F25:F26)</f>
        <v>170</v>
      </c>
    </row>
    <row r="41">
      <c r="B41" s="26" t="s">
        <v>351</v>
      </c>
      <c r="C41" s="146">
        <f t="shared" si="1"/>
        <v>0.125</v>
      </c>
      <c r="D41" s="27">
        <v>3.0</v>
      </c>
      <c r="J41" s="33">
        <f>COUNTIF($C$3:$C$26,"SORGO")</f>
        <v>3</v>
      </c>
      <c r="K41" s="27" t="s">
        <v>279</v>
      </c>
      <c r="L41" s="27">
        <v>37.0</v>
      </c>
    </row>
    <row r="43">
      <c r="B43" s="153" t="s">
        <v>352</v>
      </c>
      <c r="C43" s="154">
        <f>((F28-50)/50)</f>
        <v>0.6933333333</v>
      </c>
    </row>
    <row r="46">
      <c r="L46" s="151"/>
    </row>
    <row r="47">
      <c r="L47" s="151"/>
    </row>
  </sheetData>
  <mergeCells count="17">
    <mergeCell ref="H1:H2"/>
    <mergeCell ref="K1:N1"/>
    <mergeCell ref="V2:V3"/>
    <mergeCell ref="W2:W3"/>
    <mergeCell ref="X2:X3"/>
    <mergeCell ref="Y2:Y3"/>
    <mergeCell ref="J10:K10"/>
    <mergeCell ref="J11:K11"/>
    <mergeCell ref="J17:K17"/>
    <mergeCell ref="J18:K18"/>
    <mergeCell ref="A1:A2"/>
    <mergeCell ref="B1:B2"/>
    <mergeCell ref="C1:C2"/>
    <mergeCell ref="D1:D2"/>
    <mergeCell ref="E1:E2"/>
    <mergeCell ref="F1:F2"/>
    <mergeCell ref="G1:G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22.0"/>
    <col customWidth="1" min="7" max="7" width="14.75"/>
    <col customWidth="1" min="8" max="8" width="7.25"/>
    <col customWidth="1" min="9" max="9" width="3.25"/>
    <col customWidth="1" min="10" max="10" width="24.25"/>
    <col customWidth="1" min="11" max="11" width="18.75"/>
    <col customWidth="1" min="12" max="12" width="19.5"/>
    <col customWidth="1" min="13" max="13" width="13.25"/>
  </cols>
  <sheetData>
    <row r="1">
      <c r="D1" s="3" t="s">
        <v>353</v>
      </c>
    </row>
    <row r="2">
      <c r="J2" s="155" t="s">
        <v>34</v>
      </c>
      <c r="K2" s="155">
        <v>1.0</v>
      </c>
      <c r="L2" s="156" t="s">
        <v>354</v>
      </c>
      <c r="M2" s="67"/>
    </row>
    <row r="3">
      <c r="B3" s="155" t="s">
        <v>34</v>
      </c>
      <c r="C3" s="155">
        <v>1.0</v>
      </c>
      <c r="D3" s="156" t="s">
        <v>355</v>
      </c>
      <c r="E3" s="67"/>
      <c r="J3" s="155" t="s">
        <v>356</v>
      </c>
      <c r="K3" s="155">
        <v>2.0</v>
      </c>
      <c r="L3" s="157" t="s">
        <v>357</v>
      </c>
      <c r="M3" s="157" t="s">
        <v>358</v>
      </c>
    </row>
    <row r="4">
      <c r="B4" s="155" t="s">
        <v>356</v>
      </c>
      <c r="C4" s="155">
        <v>2.0</v>
      </c>
      <c r="D4" s="158" t="s">
        <v>357</v>
      </c>
      <c r="E4" s="158" t="s">
        <v>359</v>
      </c>
      <c r="J4" s="24" t="s">
        <v>37</v>
      </c>
      <c r="K4" s="24">
        <v>3.0</v>
      </c>
      <c r="L4" s="159" t="s">
        <v>360</v>
      </c>
      <c r="M4" s="159" t="s">
        <v>361</v>
      </c>
    </row>
    <row r="5">
      <c r="B5" s="24" t="s">
        <v>37</v>
      </c>
      <c r="C5" s="24">
        <v>3.0</v>
      </c>
      <c r="D5" s="159" t="s">
        <v>360</v>
      </c>
      <c r="E5" s="159" t="s">
        <v>362</v>
      </c>
      <c r="J5" s="160" t="s">
        <v>36</v>
      </c>
      <c r="K5" s="160">
        <v>4.0</v>
      </c>
      <c r="L5" s="161" t="s">
        <v>273</v>
      </c>
      <c r="M5" s="161" t="s">
        <v>363</v>
      </c>
    </row>
    <row r="6">
      <c r="B6" s="160" t="s">
        <v>36</v>
      </c>
      <c r="C6" s="160">
        <v>4.0</v>
      </c>
      <c r="D6" s="155" t="s">
        <v>273</v>
      </c>
      <c r="E6" s="155" t="s">
        <v>364</v>
      </c>
      <c r="J6" s="160" t="s">
        <v>365</v>
      </c>
      <c r="K6" s="160">
        <v>5.0</v>
      </c>
    </row>
    <row r="7">
      <c r="B7" s="160" t="s">
        <v>365</v>
      </c>
      <c r="C7" s="160">
        <v>5.0</v>
      </c>
    </row>
    <row r="10">
      <c r="A10" s="162" t="s">
        <v>366</v>
      </c>
      <c r="B10" s="163"/>
      <c r="C10" s="162">
        <v>1.0</v>
      </c>
      <c r="D10" s="162">
        <v>2.0</v>
      </c>
      <c r="E10" s="162">
        <v>3.0</v>
      </c>
      <c r="F10" s="162">
        <v>4.0</v>
      </c>
      <c r="G10" s="162">
        <v>5.0</v>
      </c>
      <c r="I10" s="162" t="s">
        <v>366</v>
      </c>
      <c r="J10" s="163"/>
      <c r="K10" s="162">
        <v>1.0</v>
      </c>
      <c r="L10" s="162">
        <v>2.0</v>
      </c>
      <c r="M10" s="162">
        <v>3.0</v>
      </c>
      <c r="N10" s="162">
        <v>4.0</v>
      </c>
      <c r="O10" s="162">
        <v>5.0</v>
      </c>
    </row>
    <row r="11">
      <c r="A11" s="163"/>
      <c r="B11" s="163"/>
      <c r="C11" s="162" t="s">
        <v>34</v>
      </c>
      <c r="D11" s="162" t="s">
        <v>104</v>
      </c>
      <c r="E11" s="162" t="s">
        <v>37</v>
      </c>
      <c r="F11" s="162" t="s">
        <v>36</v>
      </c>
      <c r="G11" s="162" t="s">
        <v>35</v>
      </c>
      <c r="I11" s="163"/>
      <c r="J11" s="163"/>
      <c r="K11" s="162" t="s">
        <v>34</v>
      </c>
      <c r="L11" s="162" t="s">
        <v>104</v>
      </c>
      <c r="M11" s="162" t="s">
        <v>37</v>
      </c>
      <c r="N11" s="162" t="s">
        <v>36</v>
      </c>
      <c r="O11" s="162" t="s">
        <v>35</v>
      </c>
    </row>
    <row r="12">
      <c r="A12" s="164">
        <v>1.0</v>
      </c>
      <c r="B12" s="164" t="s">
        <v>367</v>
      </c>
      <c r="C12" s="165" t="s">
        <v>368</v>
      </c>
      <c r="D12" s="166" t="s">
        <v>369</v>
      </c>
      <c r="E12" s="167" t="s">
        <v>257</v>
      </c>
      <c r="F12" s="168">
        <v>2.0</v>
      </c>
      <c r="G12" s="168">
        <v>1.0</v>
      </c>
      <c r="I12" s="164">
        <v>1.0</v>
      </c>
      <c r="J12" s="164" t="s">
        <v>370</v>
      </c>
      <c r="K12" s="168" t="s">
        <v>368</v>
      </c>
      <c r="L12" s="169" t="s">
        <v>369</v>
      </c>
      <c r="M12" s="170"/>
      <c r="N12" s="165">
        <v>2.0</v>
      </c>
      <c r="O12" s="165">
        <v>1.0</v>
      </c>
    </row>
    <row r="13">
      <c r="A13" s="164">
        <v>2.0</v>
      </c>
      <c r="B13" s="164" t="s">
        <v>371</v>
      </c>
      <c r="C13" s="168">
        <v>1.0</v>
      </c>
      <c r="D13" s="168">
        <v>2.0</v>
      </c>
      <c r="E13" s="171"/>
      <c r="F13" s="165" t="s">
        <v>369</v>
      </c>
      <c r="G13" s="165" t="s">
        <v>368</v>
      </c>
      <c r="I13" s="164">
        <v>2.0</v>
      </c>
      <c r="J13" s="164" t="s">
        <v>372</v>
      </c>
      <c r="K13" s="168" t="s">
        <v>368</v>
      </c>
      <c r="L13" s="168" t="s">
        <v>369</v>
      </c>
      <c r="M13" s="170"/>
      <c r="N13" s="165">
        <v>2.0</v>
      </c>
      <c r="O13" s="165">
        <v>1.0</v>
      </c>
    </row>
    <row r="14">
      <c r="A14" s="164">
        <v>3.0</v>
      </c>
      <c r="B14" s="164" t="s">
        <v>373</v>
      </c>
      <c r="C14" s="168">
        <v>1.0</v>
      </c>
      <c r="D14" s="168">
        <v>2.0</v>
      </c>
      <c r="E14" s="172"/>
      <c r="F14" s="166" t="s">
        <v>369</v>
      </c>
      <c r="G14" s="165" t="s">
        <v>368</v>
      </c>
      <c r="I14" s="164">
        <v>3.0</v>
      </c>
      <c r="J14" s="164" t="s">
        <v>374</v>
      </c>
      <c r="K14" s="168" t="s">
        <v>368</v>
      </c>
      <c r="L14" s="168" t="s">
        <v>369</v>
      </c>
      <c r="M14" s="170"/>
      <c r="N14" s="165">
        <v>2.0</v>
      </c>
      <c r="O14" s="165">
        <v>1.0</v>
      </c>
    </row>
    <row r="15">
      <c r="A15" s="164">
        <v>4.0</v>
      </c>
      <c r="B15" s="164" t="s">
        <v>375</v>
      </c>
      <c r="C15" s="168">
        <v>1.0</v>
      </c>
      <c r="D15" s="168">
        <v>2.0</v>
      </c>
      <c r="E15" s="172"/>
      <c r="F15" s="165" t="s">
        <v>369</v>
      </c>
      <c r="G15" s="166" t="s">
        <v>368</v>
      </c>
      <c r="I15" s="164">
        <v>4.0</v>
      </c>
      <c r="J15" s="164" t="s">
        <v>376</v>
      </c>
      <c r="K15" s="168" t="s">
        <v>368</v>
      </c>
      <c r="L15" s="168" t="s">
        <v>369</v>
      </c>
      <c r="M15" s="170"/>
      <c r="N15" s="165">
        <v>2.0</v>
      </c>
      <c r="O15" s="165">
        <v>1.0</v>
      </c>
    </row>
    <row r="16">
      <c r="A16" s="164">
        <v>5.0</v>
      </c>
      <c r="B16" s="164" t="s">
        <v>377</v>
      </c>
      <c r="C16" s="168">
        <v>1.0</v>
      </c>
      <c r="D16" s="168">
        <v>2.0</v>
      </c>
      <c r="E16" s="172"/>
      <c r="F16" s="165" t="s">
        <v>369</v>
      </c>
      <c r="G16" s="166" t="s">
        <v>368</v>
      </c>
      <c r="I16" s="164">
        <v>5.0</v>
      </c>
      <c r="J16" s="164" t="s">
        <v>378</v>
      </c>
      <c r="K16" s="168" t="s">
        <v>368</v>
      </c>
      <c r="L16" s="168" t="s">
        <v>369</v>
      </c>
      <c r="M16" s="170"/>
      <c r="N16" s="165">
        <v>2.0</v>
      </c>
      <c r="O16" s="165">
        <v>1.0</v>
      </c>
    </row>
    <row r="17">
      <c r="I17" s="164">
        <v>6.0</v>
      </c>
      <c r="J17" s="164" t="s">
        <v>379</v>
      </c>
      <c r="K17" s="168" t="s">
        <v>368</v>
      </c>
      <c r="L17" s="168" t="s">
        <v>369</v>
      </c>
      <c r="M17" s="170"/>
      <c r="N17" s="165">
        <v>2.0</v>
      </c>
      <c r="O17" s="165">
        <v>1.0</v>
      </c>
    </row>
    <row r="18">
      <c r="A18" s="27" t="s">
        <v>380</v>
      </c>
      <c r="B18" s="27" t="s">
        <v>381</v>
      </c>
      <c r="C18" s="27" t="s">
        <v>382</v>
      </c>
      <c r="D18" s="27" t="s">
        <v>383</v>
      </c>
      <c r="E18" s="173" t="s">
        <v>384</v>
      </c>
      <c r="F18" s="174" t="s">
        <v>385</v>
      </c>
      <c r="I18" s="164">
        <v>7.0</v>
      </c>
      <c r="J18" s="164" t="s">
        <v>386</v>
      </c>
      <c r="K18" s="168" t="s">
        <v>368</v>
      </c>
      <c r="L18" s="168" t="s">
        <v>369</v>
      </c>
      <c r="M18" s="170"/>
      <c r="N18" s="165">
        <v>2.0</v>
      </c>
      <c r="O18" s="165">
        <v>1.0</v>
      </c>
    </row>
    <row r="19">
      <c r="A19" s="27">
        <v>2.0</v>
      </c>
      <c r="B19" s="27">
        <v>18.0</v>
      </c>
      <c r="C19" s="27">
        <v>36.0</v>
      </c>
      <c r="D19" s="27" t="s">
        <v>226</v>
      </c>
      <c r="E19" s="175" t="s">
        <v>324</v>
      </c>
      <c r="F19" s="176" t="s">
        <v>387</v>
      </c>
      <c r="I19" s="164">
        <v>8.0</v>
      </c>
      <c r="J19" s="164" t="s">
        <v>388</v>
      </c>
      <c r="K19" s="168" t="s">
        <v>368</v>
      </c>
      <c r="L19" s="168" t="s">
        <v>369</v>
      </c>
      <c r="M19" s="170"/>
      <c r="N19" s="165">
        <v>2.0</v>
      </c>
      <c r="O19" s="165">
        <v>1.0</v>
      </c>
    </row>
    <row r="20">
      <c r="A20" s="27">
        <v>3.0</v>
      </c>
      <c r="B20" s="27">
        <v>19.0</v>
      </c>
      <c r="C20" s="27">
        <v>37.0</v>
      </c>
      <c r="D20" s="27" t="s">
        <v>226</v>
      </c>
      <c r="E20" s="175" t="s">
        <v>59</v>
      </c>
      <c r="F20" s="176" t="s">
        <v>387</v>
      </c>
    </row>
    <row r="21">
      <c r="A21" s="27">
        <v>4.0</v>
      </c>
      <c r="B21" s="27">
        <v>18.0</v>
      </c>
      <c r="C21" s="27">
        <v>37.0</v>
      </c>
      <c r="D21" s="27" t="s">
        <v>226</v>
      </c>
      <c r="E21" s="175" t="s">
        <v>59</v>
      </c>
      <c r="F21" s="176" t="s">
        <v>387</v>
      </c>
    </row>
    <row r="22">
      <c r="A22" s="27">
        <v>5.0</v>
      </c>
      <c r="B22" s="27">
        <v>21.0</v>
      </c>
      <c r="C22" s="27">
        <v>40.0</v>
      </c>
      <c r="D22" s="27" t="s">
        <v>226</v>
      </c>
      <c r="E22" s="175" t="s">
        <v>59</v>
      </c>
      <c r="F22" s="176" t="s">
        <v>387</v>
      </c>
      <c r="J22" s="177" t="s">
        <v>389</v>
      </c>
    </row>
    <row r="23">
      <c r="A23" s="27">
        <v>6.0</v>
      </c>
      <c r="B23" s="27">
        <v>18.0</v>
      </c>
      <c r="C23" s="27">
        <v>35.0</v>
      </c>
      <c r="D23" s="27" t="s">
        <v>226</v>
      </c>
      <c r="E23" s="175" t="s">
        <v>59</v>
      </c>
      <c r="F23" s="176" t="s">
        <v>387</v>
      </c>
      <c r="J23" s="27" t="s">
        <v>390</v>
      </c>
      <c r="K23" s="27" t="s">
        <v>340</v>
      </c>
      <c r="L23" s="27" t="s">
        <v>391</v>
      </c>
    </row>
    <row r="24">
      <c r="A24" s="27">
        <v>7.0</v>
      </c>
      <c r="B24" s="27">
        <v>17.0</v>
      </c>
      <c r="C24" s="27">
        <v>38.0</v>
      </c>
      <c r="D24" s="27" t="s">
        <v>226</v>
      </c>
      <c r="E24" s="178" t="s">
        <v>59</v>
      </c>
      <c r="F24" s="179" t="s">
        <v>392</v>
      </c>
      <c r="J24" s="27" t="s">
        <v>387</v>
      </c>
      <c r="K24" s="180">
        <f t="shared" ref="K24:K26" si="1">L24/24</f>
        <v>0.5416666667</v>
      </c>
      <c r="L24" s="181">
        <v>13.0</v>
      </c>
      <c r="Q24" s="3"/>
    </row>
    <row r="25">
      <c r="A25" s="27">
        <v>8.0</v>
      </c>
      <c r="B25" s="27">
        <v>17.0</v>
      </c>
      <c r="C25" s="27">
        <v>36.0</v>
      </c>
      <c r="D25" s="27" t="s">
        <v>226</v>
      </c>
      <c r="E25" s="178" t="s">
        <v>59</v>
      </c>
      <c r="F25" s="179" t="s">
        <v>392</v>
      </c>
      <c r="J25" s="27" t="s">
        <v>393</v>
      </c>
      <c r="K25" s="182">
        <f t="shared" si="1"/>
        <v>0.375</v>
      </c>
      <c r="L25" s="183">
        <v>9.0</v>
      </c>
      <c r="M25" s="27" t="s">
        <v>390</v>
      </c>
      <c r="N25" s="27" t="s">
        <v>394</v>
      </c>
      <c r="O25" s="27" t="s">
        <v>395</v>
      </c>
      <c r="Q25" s="73"/>
    </row>
    <row r="26">
      <c r="A26" s="27">
        <v>9.0</v>
      </c>
      <c r="B26" s="27">
        <v>19.0</v>
      </c>
      <c r="C26" s="27">
        <v>37.0</v>
      </c>
      <c r="D26" s="27" t="s">
        <v>226</v>
      </c>
      <c r="E26" s="175" t="s">
        <v>59</v>
      </c>
      <c r="F26" s="176" t="s">
        <v>387</v>
      </c>
      <c r="J26" s="27" t="s">
        <v>396</v>
      </c>
      <c r="K26" s="184">
        <f t="shared" si="1"/>
        <v>0.04166666667</v>
      </c>
      <c r="L26" s="185">
        <v>1.0</v>
      </c>
      <c r="M26" s="27" t="s">
        <v>387</v>
      </c>
      <c r="N26" s="180">
        <v>0.5416666666666666</v>
      </c>
      <c r="O26" s="154">
        <v>0.6666666666666666</v>
      </c>
      <c r="Q26" s="73"/>
    </row>
    <row r="27">
      <c r="A27" s="27">
        <v>10.0</v>
      </c>
      <c r="B27" s="27">
        <v>16.0</v>
      </c>
      <c r="C27" s="27">
        <v>30.0</v>
      </c>
      <c r="D27" s="27" t="s">
        <v>226</v>
      </c>
      <c r="E27" s="186" t="s">
        <v>252</v>
      </c>
      <c r="F27" s="187" t="s">
        <v>393</v>
      </c>
      <c r="J27" s="177" t="s">
        <v>397</v>
      </c>
      <c r="M27" s="27" t="s">
        <v>393</v>
      </c>
      <c r="N27" s="182">
        <v>0.375</v>
      </c>
      <c r="O27" s="154">
        <v>0.25</v>
      </c>
      <c r="Q27" s="73"/>
    </row>
    <row r="28">
      <c r="A28" s="27">
        <v>11.0</v>
      </c>
      <c r="B28" s="27">
        <v>19.0</v>
      </c>
      <c r="C28" s="27">
        <v>30.0</v>
      </c>
      <c r="D28" s="27" t="s">
        <v>226</v>
      </c>
      <c r="E28" s="178" t="s">
        <v>252</v>
      </c>
      <c r="F28" s="179" t="s">
        <v>392</v>
      </c>
      <c r="J28" s="27" t="s">
        <v>390</v>
      </c>
      <c r="K28" s="27" t="s">
        <v>340</v>
      </c>
      <c r="L28" s="27" t="s">
        <v>398</v>
      </c>
      <c r="M28" s="27" t="s">
        <v>396</v>
      </c>
      <c r="N28" s="184">
        <v>0.041666666666666664</v>
      </c>
      <c r="O28" s="154">
        <v>0.041666666666666664</v>
      </c>
    </row>
    <row r="29">
      <c r="A29" s="27">
        <v>12.0</v>
      </c>
      <c r="B29" s="27">
        <v>18.0</v>
      </c>
      <c r="C29" s="27">
        <v>32.0</v>
      </c>
      <c r="D29" s="27" t="s">
        <v>226</v>
      </c>
      <c r="E29" s="175" t="s">
        <v>399</v>
      </c>
      <c r="F29" s="176" t="s">
        <v>387</v>
      </c>
      <c r="J29" s="27" t="s">
        <v>387</v>
      </c>
      <c r="K29" s="188">
        <f t="shared" ref="K29:K31" si="2">L29/24</f>
        <v>0.6666666667</v>
      </c>
      <c r="L29" s="158">
        <v>16.0</v>
      </c>
    </row>
    <row r="30">
      <c r="A30" s="27">
        <v>13.0</v>
      </c>
      <c r="B30" s="27">
        <v>19.0</v>
      </c>
      <c r="C30" s="27">
        <v>34.0</v>
      </c>
      <c r="D30" s="27" t="s">
        <v>226</v>
      </c>
      <c r="E30" s="175" t="s">
        <v>252</v>
      </c>
      <c r="F30" s="176" t="s">
        <v>387</v>
      </c>
      <c r="J30" s="27" t="s">
        <v>393</v>
      </c>
      <c r="K30" s="182">
        <f t="shared" si="2"/>
        <v>0.25</v>
      </c>
      <c r="L30" s="183">
        <v>6.0</v>
      </c>
    </row>
    <row r="31">
      <c r="A31" s="27">
        <v>14.0</v>
      </c>
      <c r="B31" s="27">
        <v>20.0</v>
      </c>
      <c r="C31" s="27">
        <v>32.0</v>
      </c>
      <c r="D31" s="27" t="s">
        <v>226</v>
      </c>
      <c r="E31" s="175" t="s">
        <v>252</v>
      </c>
      <c r="F31" s="176" t="s">
        <v>387</v>
      </c>
      <c r="J31" s="27" t="s">
        <v>396</v>
      </c>
      <c r="K31" s="184">
        <f t="shared" si="2"/>
        <v>0.04166666667</v>
      </c>
      <c r="L31" s="185">
        <v>1.0</v>
      </c>
    </row>
    <row r="32">
      <c r="A32" s="27">
        <v>15.0</v>
      </c>
      <c r="B32" s="27">
        <v>13.0</v>
      </c>
      <c r="C32" s="27">
        <v>16.0</v>
      </c>
      <c r="D32" s="27" t="s">
        <v>226</v>
      </c>
      <c r="E32" s="189" t="s">
        <v>400</v>
      </c>
      <c r="F32" s="190" t="s">
        <v>396</v>
      </c>
    </row>
    <row r="33">
      <c r="A33" s="27">
        <v>16.0</v>
      </c>
      <c r="B33" s="27">
        <v>20.0</v>
      </c>
      <c r="C33" s="27">
        <v>32.0</v>
      </c>
      <c r="D33" s="27" t="s">
        <v>226</v>
      </c>
      <c r="E33" s="175" t="s">
        <v>252</v>
      </c>
      <c r="F33" s="176" t="s">
        <v>387</v>
      </c>
    </row>
    <row r="34">
      <c r="A34" s="27">
        <v>17.0</v>
      </c>
      <c r="B34" s="27">
        <v>15.0</v>
      </c>
      <c r="C34" s="27">
        <v>25.0</v>
      </c>
      <c r="D34" s="27" t="s">
        <v>226</v>
      </c>
      <c r="E34" s="191" t="s">
        <v>252</v>
      </c>
      <c r="F34" s="192" t="s">
        <v>393</v>
      </c>
    </row>
    <row r="35">
      <c r="A35" s="27">
        <v>18.0</v>
      </c>
      <c r="B35" s="27">
        <v>17.0</v>
      </c>
      <c r="C35" s="27">
        <v>26.0</v>
      </c>
      <c r="D35" s="27" t="s">
        <v>226</v>
      </c>
      <c r="E35" s="191" t="s">
        <v>401</v>
      </c>
      <c r="F35" s="192" t="s">
        <v>393</v>
      </c>
      <c r="J35" s="76" t="s">
        <v>402</v>
      </c>
    </row>
    <row r="36">
      <c r="A36" s="27">
        <v>19.0</v>
      </c>
      <c r="B36" s="27">
        <v>21.0</v>
      </c>
      <c r="C36" s="27">
        <v>36.0</v>
      </c>
      <c r="D36" s="27" t="s">
        <v>226</v>
      </c>
      <c r="E36" s="193" t="s">
        <v>252</v>
      </c>
      <c r="F36" s="176" t="s">
        <v>387</v>
      </c>
      <c r="I36" s="194" t="s">
        <v>332</v>
      </c>
      <c r="J36" s="194" t="s">
        <v>336</v>
      </c>
      <c r="K36" s="194" t="s">
        <v>396</v>
      </c>
      <c r="L36" s="194" t="s">
        <v>393</v>
      </c>
      <c r="M36" s="194" t="s">
        <v>392</v>
      </c>
      <c r="N36" s="194" t="s">
        <v>387</v>
      </c>
    </row>
    <row r="37">
      <c r="A37" s="27">
        <v>20.0</v>
      </c>
      <c r="B37" s="27">
        <v>16.0</v>
      </c>
      <c r="C37" s="27">
        <v>37.0</v>
      </c>
      <c r="D37" s="27" t="s">
        <v>279</v>
      </c>
      <c r="E37" s="178" t="s">
        <v>59</v>
      </c>
      <c r="F37" s="179" t="s">
        <v>392</v>
      </c>
      <c r="I37" s="27">
        <f>COUNTIF($E$19:$E$42,"BIOPRO")</f>
        <v>9</v>
      </c>
      <c r="J37" s="27" t="s">
        <v>59</v>
      </c>
      <c r="K37" s="27">
        <f>COUNTIFS($E$19:$E$42,"BIOPRO",$F$19:$F$42, "BAJO")</f>
        <v>0</v>
      </c>
      <c r="L37" s="27">
        <f>COUNTIFS($E$19:$E$42,"BIOPRO",$F$19:$F$42, "MEDIO")</f>
        <v>0</v>
      </c>
      <c r="M37" s="27">
        <f>COUNTIFS($E$19:$E$42,"BIOPRO",$F$19:$F$42, "MEDIO ALTO")</f>
        <v>4</v>
      </c>
      <c r="N37" s="27">
        <f>COUNTIFS($E$19:$E$42,"BIOPRO",$F$19:$F$42, "ALTO")</f>
        <v>5</v>
      </c>
    </row>
    <row r="38">
      <c r="A38" s="27">
        <v>21.0</v>
      </c>
      <c r="B38" s="27">
        <v>17.0</v>
      </c>
      <c r="C38" s="27">
        <v>36.0</v>
      </c>
      <c r="D38" s="27" t="s">
        <v>279</v>
      </c>
      <c r="E38" s="178" t="s">
        <v>59</v>
      </c>
      <c r="F38" s="179" t="s">
        <v>392</v>
      </c>
      <c r="I38" s="27">
        <f>COUNTIF($E$19:$E$42,"BIOAMIGO")</f>
        <v>7</v>
      </c>
      <c r="J38" s="27" t="s">
        <v>252</v>
      </c>
      <c r="K38" s="27">
        <f>COUNTIFS($E$19:$E$42,"BIAMIGO",$F$19:$F$42, "BAJO")</f>
        <v>0</v>
      </c>
      <c r="L38" s="27">
        <f>COUNTIFS($E$19:$E$42,"BIOAMIGO",$F$19:$F$42, "MEDIO")</f>
        <v>2</v>
      </c>
      <c r="M38" s="27">
        <f>COUNTIFS($E$19:$E$42,"BIOAMIGO",$F$19:$F$42, "MEDIO ALTO")</f>
        <v>1</v>
      </c>
      <c r="N38" s="27">
        <f>COUNTIFS($E$19:$E$42,"BIOAMIGO",$F$19:$F$42, "ALTO")</f>
        <v>4</v>
      </c>
    </row>
    <row r="39">
      <c r="A39" s="27">
        <v>22.0</v>
      </c>
      <c r="B39" s="27">
        <v>15.0</v>
      </c>
      <c r="C39" s="27">
        <v>38.0</v>
      </c>
      <c r="D39" s="27" t="s">
        <v>226</v>
      </c>
      <c r="E39" s="178" t="s">
        <v>288</v>
      </c>
      <c r="F39" s="179" t="s">
        <v>392</v>
      </c>
      <c r="I39" s="27">
        <v>3.0</v>
      </c>
      <c r="J39" s="27" t="s">
        <v>337</v>
      </c>
      <c r="K39" s="27">
        <v>1.0</v>
      </c>
      <c r="L39" s="27">
        <v>1.0</v>
      </c>
      <c r="M39" s="27">
        <v>0.0</v>
      </c>
      <c r="N39" s="27">
        <v>1.0</v>
      </c>
    </row>
    <row r="40">
      <c r="A40" s="27">
        <v>23.0</v>
      </c>
      <c r="B40" s="27">
        <v>17.0</v>
      </c>
      <c r="C40" s="27">
        <v>27.0</v>
      </c>
      <c r="D40" s="27" t="s">
        <v>291</v>
      </c>
      <c r="E40" s="186" t="s">
        <v>289</v>
      </c>
      <c r="F40" s="195" t="s">
        <v>393</v>
      </c>
      <c r="I40" s="27">
        <f>COUNTIF($E$19:$E$42,"ORGOSANTO")</f>
        <v>2</v>
      </c>
      <c r="J40" s="27" t="s">
        <v>183</v>
      </c>
      <c r="K40" s="27">
        <f>COUNTIFS($E$19:$E$42,"ORGOSANTO",$F$19:$F$42, "BAJO")</f>
        <v>0</v>
      </c>
      <c r="L40" s="27">
        <f>COUNTIFS($E$19:$E$42,"ORGOSANTO",$F$19:$F$42, "MEDIO")</f>
        <v>0</v>
      </c>
      <c r="M40" s="27">
        <f>COUNTIFS($E$19:$E$42,"ORGOSANTO",$F$19:$F$42, "MEDIO ALTO")</f>
        <v>2</v>
      </c>
      <c r="N40" s="27">
        <f>COUNTIFS($E$19:$E$42,"ORGOSANTO",$F$19:$F$42, "ALTO")</f>
        <v>0</v>
      </c>
    </row>
    <row r="41">
      <c r="A41" s="27">
        <v>24.0</v>
      </c>
      <c r="B41" s="27">
        <v>18.0</v>
      </c>
      <c r="C41" s="27">
        <v>24.0</v>
      </c>
      <c r="D41" s="27" t="s">
        <v>279</v>
      </c>
      <c r="E41" s="178" t="s">
        <v>288</v>
      </c>
      <c r="F41" s="179" t="s">
        <v>392</v>
      </c>
      <c r="I41" s="27">
        <f>COUNTIF($E$19:$E$42,"CROP PLUS")</f>
        <v>1</v>
      </c>
      <c r="J41" s="27" t="s">
        <v>290</v>
      </c>
      <c r="K41" s="27">
        <f>COUNTIFS($E$19:$E$42,"CROP PLUS",$F$19:$F$42, "BAJO")</f>
        <v>1</v>
      </c>
      <c r="L41" s="27">
        <f>COUNTIFS($E$19:$E$42,"CROP PLUS",$F$19:$F$42, "MEDIO")</f>
        <v>0</v>
      </c>
      <c r="M41" s="27">
        <f>COUNTIFS($E$19:$E$42,"CROP PLUS",$F$19:$F$42, "MEDIO ALTO")</f>
        <v>0</v>
      </c>
      <c r="N41" s="27">
        <f>COUNTIFS($E$19:$E$42,"CROP PLUS",$F$19:$F$42, "ALTO")</f>
        <v>0</v>
      </c>
    </row>
    <row r="42">
      <c r="A42" s="27">
        <v>25.0</v>
      </c>
      <c r="B42" s="27">
        <v>6.0</v>
      </c>
      <c r="C42" s="27">
        <v>15.0</v>
      </c>
      <c r="D42" s="27" t="s">
        <v>291</v>
      </c>
      <c r="E42" s="196" t="s">
        <v>290</v>
      </c>
      <c r="F42" s="190" t="s">
        <v>396</v>
      </c>
      <c r="I42" s="27">
        <f>COUNTIF($E$19:$E$42,"NITROESTEN")</f>
        <v>1</v>
      </c>
      <c r="J42" s="92" t="s">
        <v>330</v>
      </c>
      <c r="K42" s="27">
        <f>COUNTIFS($E$19:$E$42,"NITROESTEN",$F$19:$F$42, "BAJO")</f>
        <v>0</v>
      </c>
      <c r="L42" s="27">
        <f>COUNTIFS($E$19:$E$42,"NITROESTEN",$F$19:$F$42, "MEDIO")</f>
        <v>0</v>
      </c>
      <c r="M42" s="27">
        <f>COUNTIFS($E$19:$E$42,"NITROESTEN",$F$19:$F$42, "MEDIO ALTO")</f>
        <v>0</v>
      </c>
      <c r="N42" s="27">
        <f>COUNTIFS($E$19:$E$42,"NITROESTEN",$F$19:$F$42, "ALTO")</f>
        <v>1</v>
      </c>
    </row>
    <row r="43">
      <c r="A43" s="27"/>
      <c r="I43" s="27">
        <f>COUNTIF($E$19:$E$42,"ALBAMIN")</f>
        <v>1</v>
      </c>
      <c r="J43" s="27" t="s">
        <v>289</v>
      </c>
      <c r="K43" s="27">
        <f>COUNTIFS($E$19:$E$42,"ALBAMIN",$F$19:$F$42, "BAJO")</f>
        <v>0</v>
      </c>
      <c r="L43" s="27">
        <f>COUNTIFS($E$19:$E$42,"ALBAMIN",$F$19:$F$42, "MEDIO")</f>
        <v>1</v>
      </c>
      <c r="M43" s="27">
        <f>COUNTIFS($E$19:$E$42,"ALBAMIN",$F$19:$F$42, "MEDIO ALTO")</f>
        <v>0</v>
      </c>
      <c r="N43" s="27">
        <f>COUNTIFS($E$19:$E$42,"ALBAMIN",$F$19:$F$42, "ALTO")</f>
        <v>0</v>
      </c>
    </row>
    <row r="45">
      <c r="J45" s="76" t="s">
        <v>403</v>
      </c>
    </row>
    <row r="46">
      <c r="I46" s="194" t="s">
        <v>332</v>
      </c>
      <c r="J46" s="194" t="s">
        <v>333</v>
      </c>
      <c r="K46" s="194" t="s">
        <v>396</v>
      </c>
      <c r="L46" s="194" t="s">
        <v>393</v>
      </c>
      <c r="M46" s="197" t="s">
        <v>387</v>
      </c>
      <c r="N46" s="3"/>
    </row>
    <row r="47">
      <c r="B47" s="156" t="s">
        <v>355</v>
      </c>
      <c r="C47" s="67"/>
      <c r="D47" s="156" t="s">
        <v>354</v>
      </c>
      <c r="E47" s="67"/>
      <c r="I47" s="27">
        <f>COUNTIF(D19:D42, "MAIZ")</f>
        <v>19</v>
      </c>
      <c r="J47" s="27" t="s">
        <v>226</v>
      </c>
      <c r="K47" s="27">
        <v>1.0</v>
      </c>
      <c r="L47" s="27">
        <v>6.0</v>
      </c>
      <c r="M47" s="148">
        <v>12.0</v>
      </c>
      <c r="N47" s="3"/>
    </row>
    <row r="48">
      <c r="B48" s="181" t="s">
        <v>357</v>
      </c>
      <c r="C48" s="181" t="s">
        <v>359</v>
      </c>
      <c r="D48" s="158" t="s">
        <v>357</v>
      </c>
      <c r="E48" s="158" t="s">
        <v>358</v>
      </c>
      <c r="I48" s="27">
        <f>COUNTIF(D19:D42, "ARROZ")</f>
        <v>2</v>
      </c>
      <c r="J48" s="27" t="s">
        <v>291</v>
      </c>
      <c r="K48" s="27">
        <v>1.0</v>
      </c>
      <c r="L48" s="27">
        <v>1.0</v>
      </c>
      <c r="M48" s="148">
        <v>0.0</v>
      </c>
      <c r="N48" s="3"/>
    </row>
    <row r="49">
      <c r="B49" s="198" t="s">
        <v>360</v>
      </c>
      <c r="C49" s="198" t="s">
        <v>362</v>
      </c>
      <c r="D49" s="198" t="s">
        <v>360</v>
      </c>
      <c r="E49" s="198" t="s">
        <v>361</v>
      </c>
      <c r="I49" s="30">
        <f>COUNTIF(D19:D42, "SORGO")</f>
        <v>3</v>
      </c>
      <c r="J49" s="30" t="s">
        <v>279</v>
      </c>
      <c r="K49" s="30">
        <v>1.0</v>
      </c>
      <c r="L49" s="30">
        <v>2.0</v>
      </c>
      <c r="M49" s="199">
        <v>1.0</v>
      </c>
      <c r="N49" s="3"/>
    </row>
    <row r="50">
      <c r="B50" s="185" t="s">
        <v>273</v>
      </c>
      <c r="C50" s="185" t="s">
        <v>364</v>
      </c>
      <c r="D50" s="185" t="s">
        <v>273</v>
      </c>
      <c r="E50" s="185" t="s">
        <v>363</v>
      </c>
      <c r="I50" s="3"/>
      <c r="J50" s="3"/>
      <c r="K50" s="3"/>
      <c r="L50" s="3"/>
      <c r="M50" s="3"/>
      <c r="N50" s="3"/>
    </row>
    <row r="51">
      <c r="J51" s="76" t="s">
        <v>404</v>
      </c>
      <c r="M51" s="3"/>
      <c r="N51" s="3"/>
    </row>
    <row r="52">
      <c r="I52" s="194" t="s">
        <v>332</v>
      </c>
      <c r="J52" s="194" t="s">
        <v>333</v>
      </c>
      <c r="K52" s="194" t="s">
        <v>396</v>
      </c>
      <c r="L52" s="194" t="s">
        <v>393</v>
      </c>
      <c r="M52" s="194" t="s">
        <v>405</v>
      </c>
    </row>
    <row r="53">
      <c r="I53" s="27">
        <f>COUNTIF(D19:D42, "MAIZ")</f>
        <v>19</v>
      </c>
      <c r="J53" s="27" t="s">
        <v>226</v>
      </c>
      <c r="K53" s="27">
        <v>0.0</v>
      </c>
      <c r="L53" s="27">
        <v>4.0</v>
      </c>
      <c r="M53" s="27">
        <v>15.0</v>
      </c>
    </row>
    <row r="54">
      <c r="I54" s="27">
        <f>COUNTIF(D19:D42, "ARROZ")</f>
        <v>2</v>
      </c>
      <c r="J54" s="27" t="s">
        <v>291</v>
      </c>
      <c r="K54" s="27">
        <v>1.0</v>
      </c>
      <c r="L54" s="27">
        <v>0.0</v>
      </c>
      <c r="M54" s="27">
        <v>1.0</v>
      </c>
    </row>
    <row r="55">
      <c r="I55" s="27">
        <f>COUNTIF(D19:D42, "SORGO")</f>
        <v>3</v>
      </c>
      <c r="J55" s="27" t="s">
        <v>279</v>
      </c>
      <c r="K55" s="27">
        <v>0.0</v>
      </c>
      <c r="L55" s="27">
        <v>0.0</v>
      </c>
      <c r="M55" s="27">
        <v>3.0</v>
      </c>
    </row>
    <row r="57">
      <c r="J57" s="76" t="s">
        <v>406</v>
      </c>
    </row>
    <row r="58">
      <c r="I58" s="194" t="s">
        <v>332</v>
      </c>
      <c r="J58" s="194" t="s">
        <v>333</v>
      </c>
      <c r="K58" s="194" t="s">
        <v>396</v>
      </c>
      <c r="L58" s="194" t="s">
        <v>393</v>
      </c>
      <c r="M58" s="194" t="s">
        <v>392</v>
      </c>
      <c r="N58" s="194" t="s">
        <v>387</v>
      </c>
    </row>
    <row r="59">
      <c r="I59" s="27">
        <f>COUNTIF(D19:D42, "MAIZ")</f>
        <v>19</v>
      </c>
      <c r="J59" s="27" t="s">
        <v>226</v>
      </c>
      <c r="K59" s="27">
        <f>COUNTIFS($D$19:$D$42,"MAIZ",$F$19:$F$42, "BAJO")</f>
        <v>1</v>
      </c>
      <c r="L59" s="27">
        <f>COUNTIFS($D$19:$D$42,"MAIZ",$F$19:$F$42, "MEDIO")</f>
        <v>3</v>
      </c>
      <c r="M59" s="27">
        <f>COUNTIFS($D$19:$D$42,"MAIZ",$F$19:$F$42, "MEDIO ALTO")</f>
        <v>4</v>
      </c>
      <c r="N59" s="27">
        <f>COUNTIFS($D$19:$D$42,"MAIZ",$F$19:$F$42, "ALTO")</f>
        <v>11</v>
      </c>
    </row>
    <row r="60">
      <c r="I60" s="27">
        <f>COUNTIF(D19:D42, "ARROZ")</f>
        <v>2</v>
      </c>
      <c r="J60" s="27" t="s">
        <v>291</v>
      </c>
      <c r="K60" s="27">
        <f>COUNTIFS($D$19:$D$42,"ARROZ",$F$19:$F$42, "BAJO")</f>
        <v>1</v>
      </c>
      <c r="L60" s="27">
        <f>COUNTIFS($D$19:$D$42,"ARROZ",$F$19:$F$42, "MEDIO")</f>
        <v>1</v>
      </c>
      <c r="M60" s="27">
        <f>COUNTIFS($D$19:$D$42,"ARROZ",$F$19:$F$42, "MEDIO ALTO")</f>
        <v>0</v>
      </c>
      <c r="N60" s="27">
        <f>COUNTIFS($D$19:$D$42,"ARROZ",$F$19:$F$42, "ALTO")</f>
        <v>0</v>
      </c>
    </row>
    <row r="61">
      <c r="I61" s="27">
        <f>COUNTIF(D19:D42, "SORGO")</f>
        <v>3</v>
      </c>
      <c r="J61" s="27" t="s">
        <v>279</v>
      </c>
      <c r="K61" s="27">
        <f>COUNTIFS($D$19:$D$42,"SORGO",$F$19:$F$42, "BAJO")</f>
        <v>0</v>
      </c>
      <c r="L61" s="27">
        <f>COUNTIFS($D$19:$D$42,"SORGO",$F$19:$F$42, "MEDIO")</f>
        <v>0</v>
      </c>
      <c r="M61" s="27">
        <f>COUNTIFS($D$19:$D$42,"SORGO",$F$19:$F$42, "MEDIO ALTO")</f>
        <v>3</v>
      </c>
      <c r="N61" s="27">
        <f>COUNTIFS($D$19:$D$42,"SORGO",$F$19:$F$42, "ALTO")</f>
        <v>0</v>
      </c>
    </row>
    <row r="63">
      <c r="I63" s="177" t="s">
        <v>407</v>
      </c>
    </row>
    <row r="65">
      <c r="I65" s="194" t="s">
        <v>332</v>
      </c>
      <c r="J65" s="194"/>
      <c r="K65" s="194" t="s">
        <v>396</v>
      </c>
      <c r="L65" s="194" t="s">
        <v>393</v>
      </c>
      <c r="M65" s="194" t="s">
        <v>387</v>
      </c>
    </row>
    <row r="66">
      <c r="I66" s="27">
        <v>9.0</v>
      </c>
      <c r="J66" s="27" t="s">
        <v>59</v>
      </c>
      <c r="K66" s="27">
        <v>0.0</v>
      </c>
      <c r="L66" s="27">
        <v>4.0</v>
      </c>
      <c r="M66" s="27">
        <v>5.0</v>
      </c>
    </row>
    <row r="67">
      <c r="I67" s="27">
        <v>7.0</v>
      </c>
      <c r="J67" s="27" t="s">
        <v>252</v>
      </c>
      <c r="K67" s="27">
        <v>0.0</v>
      </c>
      <c r="L67" s="27">
        <v>2.0</v>
      </c>
      <c r="M67" s="27">
        <v>5.0</v>
      </c>
    </row>
    <row r="68">
      <c r="I68" s="27">
        <v>3.0</v>
      </c>
      <c r="J68" s="27" t="s">
        <v>337</v>
      </c>
      <c r="K68" s="27">
        <v>1.0</v>
      </c>
      <c r="L68" s="27">
        <v>1.0</v>
      </c>
      <c r="M68" s="27">
        <v>1.0</v>
      </c>
    </row>
    <row r="69">
      <c r="I69" s="27">
        <v>2.0</v>
      </c>
      <c r="J69" s="120" t="s">
        <v>183</v>
      </c>
      <c r="K69" s="27">
        <v>0.0</v>
      </c>
      <c r="L69" s="27">
        <v>1.0</v>
      </c>
      <c r="M69" s="27">
        <v>1.0</v>
      </c>
    </row>
    <row r="70">
      <c r="I70" s="27">
        <v>1.0</v>
      </c>
      <c r="J70" s="27" t="s">
        <v>290</v>
      </c>
      <c r="K70" s="27">
        <v>1.0</v>
      </c>
      <c r="L70" s="27">
        <v>0.0</v>
      </c>
      <c r="M70" s="27">
        <v>0.0</v>
      </c>
    </row>
    <row r="71">
      <c r="I71" s="27">
        <v>1.0</v>
      </c>
      <c r="J71" s="92" t="s">
        <v>330</v>
      </c>
      <c r="K71" s="27">
        <v>0.0</v>
      </c>
      <c r="L71" s="27">
        <v>0.0</v>
      </c>
      <c r="M71" s="27">
        <v>1.0</v>
      </c>
    </row>
    <row r="72">
      <c r="I72" s="30">
        <v>1.0</v>
      </c>
      <c r="J72" s="30" t="s">
        <v>408</v>
      </c>
      <c r="K72" s="30">
        <v>0.0</v>
      </c>
      <c r="L72" s="30">
        <v>1.0</v>
      </c>
      <c r="M72" s="30">
        <v>0.0</v>
      </c>
    </row>
    <row r="73">
      <c r="H73" s="200" t="s">
        <v>409</v>
      </c>
    </row>
    <row r="75">
      <c r="I75" s="201" t="s">
        <v>332</v>
      </c>
      <c r="J75" s="202"/>
      <c r="K75" s="202" t="s">
        <v>396</v>
      </c>
      <c r="L75" s="202" t="s">
        <v>393</v>
      </c>
      <c r="M75" s="202" t="s">
        <v>387</v>
      </c>
    </row>
    <row r="76">
      <c r="I76" s="150">
        <v>9.0</v>
      </c>
      <c r="J76" s="27" t="s">
        <v>59</v>
      </c>
      <c r="K76" s="27">
        <v>0.0</v>
      </c>
      <c r="L76" s="27">
        <v>0.0</v>
      </c>
      <c r="M76" s="27">
        <v>9.0</v>
      </c>
    </row>
    <row r="77">
      <c r="I77" s="150">
        <v>7.0</v>
      </c>
      <c r="J77" s="27" t="s">
        <v>252</v>
      </c>
      <c r="K77" s="27">
        <v>0.0</v>
      </c>
      <c r="L77" s="27">
        <v>3.0</v>
      </c>
      <c r="M77" s="27">
        <v>4.0</v>
      </c>
    </row>
    <row r="78">
      <c r="I78" s="150">
        <v>3.0</v>
      </c>
      <c r="J78" s="27" t="s">
        <v>337</v>
      </c>
      <c r="K78" s="27">
        <v>1.0</v>
      </c>
      <c r="L78" s="27">
        <v>1.0</v>
      </c>
      <c r="M78" s="27">
        <v>1.0</v>
      </c>
    </row>
    <row r="79">
      <c r="I79" s="150">
        <v>2.0</v>
      </c>
      <c r="J79" s="120" t="s">
        <v>183</v>
      </c>
      <c r="K79" s="27">
        <v>0.0</v>
      </c>
      <c r="L79" s="27">
        <v>1.0</v>
      </c>
      <c r="M79" s="27">
        <v>1.0</v>
      </c>
      <c r="P79" s="3"/>
      <c r="Q79" s="3"/>
      <c r="R79" s="3"/>
      <c r="S79" s="3"/>
    </row>
    <row r="80">
      <c r="I80" s="150">
        <v>1.0</v>
      </c>
      <c r="J80" s="27" t="s">
        <v>290</v>
      </c>
      <c r="K80" s="27">
        <v>1.0</v>
      </c>
      <c r="L80" s="27">
        <v>0.0</v>
      </c>
      <c r="M80" s="27">
        <v>0.0</v>
      </c>
      <c r="P80" s="3"/>
      <c r="Q80" s="3"/>
      <c r="R80" s="3"/>
      <c r="S80" s="3"/>
    </row>
    <row r="81">
      <c r="I81" s="150">
        <v>1.0</v>
      </c>
      <c r="J81" s="92" t="s">
        <v>330</v>
      </c>
      <c r="K81" s="27">
        <v>0.0</v>
      </c>
      <c r="L81" s="27">
        <v>0.0</v>
      </c>
      <c r="M81" s="27">
        <v>1.0</v>
      </c>
      <c r="P81" s="3"/>
      <c r="Q81" s="3"/>
      <c r="R81" s="3"/>
      <c r="S81" s="3"/>
    </row>
    <row r="82">
      <c r="I82" s="150">
        <v>1.0</v>
      </c>
      <c r="J82" s="27" t="s">
        <v>408</v>
      </c>
      <c r="K82" s="27">
        <v>0.0</v>
      </c>
      <c r="L82" s="27">
        <v>1.0</v>
      </c>
      <c r="M82" s="27">
        <v>0.0</v>
      </c>
      <c r="P82" s="3"/>
      <c r="Q82" s="3"/>
      <c r="R82" s="3"/>
      <c r="S82" s="3"/>
    </row>
  </sheetData>
  <mergeCells count="16">
    <mergeCell ref="D1:F1"/>
    <mergeCell ref="L2:M2"/>
    <mergeCell ref="D3:E3"/>
    <mergeCell ref="J35:L35"/>
    <mergeCell ref="J45:L45"/>
    <mergeCell ref="B47:C47"/>
    <mergeCell ref="D47:E47"/>
    <mergeCell ref="H75:H83"/>
    <mergeCell ref="I83:N84"/>
    <mergeCell ref="J51:L51"/>
    <mergeCell ref="J57:L57"/>
    <mergeCell ref="I63:M64"/>
    <mergeCell ref="H64:H72"/>
    <mergeCell ref="N64:N72"/>
    <mergeCell ref="H73:M74"/>
    <mergeCell ref="N73:N82"/>
  </mergeCells>
  <conditionalFormatting sqref="B19:B43 C19:C45 D44:D45">
    <cfRule type="cellIs" dxfId="0" priority="1" operator="greaterThanOrEqual">
      <formula>18</formula>
    </cfRule>
  </conditionalFormatting>
  <conditionalFormatting sqref="B19:B43 C19:C45 D44:D45">
    <cfRule type="cellIs" dxfId="1" priority="2" operator="lessThanOrEqual">
      <formula>13</formula>
    </cfRule>
  </conditionalFormatting>
  <conditionalFormatting sqref="B19:B43">
    <cfRule type="notContainsBlanks" dxfId="2" priority="3">
      <formula>LEN(TRIM(B19))&gt;0</formula>
    </cfRule>
  </conditionalFormatting>
  <conditionalFormatting sqref="C19:C43 D45">
    <cfRule type="cellIs" dxfId="3" priority="4" operator="greaterThan">
      <formula>31</formula>
    </cfRule>
  </conditionalFormatting>
  <conditionalFormatting sqref="C19:C43 D45">
    <cfRule type="cellIs" dxfId="1" priority="5" operator="lessThanOrEqual">
      <formula>16</formula>
    </cfRule>
  </conditionalFormatting>
  <conditionalFormatting sqref="C19:C43 D45">
    <cfRule type="notContainsBlanks" dxfId="2" priority="6">
      <formula>LEN(TRIM(C19))&gt;0</formula>
    </cfRule>
  </conditionalFormatting>
  <drawing r:id="rId1"/>
</worksheet>
</file>