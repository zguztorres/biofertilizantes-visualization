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MATRIZ" sheetId="2" r:id="rId6"/>
    <sheet state="visible" name="PARTE I" sheetId="3" r:id="rId7"/>
    <sheet state="visible" name="PARTE II" sheetId="4" r:id="rId8"/>
    <sheet state="visible" name="PARTE III" sheetId="5" r:id="rId9"/>
  </sheets>
  <definedNames>
    <definedName name="X">MATRIZ!$W:$W</definedName>
  </definedNames>
  <calcPr/>
</workbook>
</file>

<file path=xl/sharedStrings.xml><?xml version="1.0" encoding="utf-8"?>
<sst xmlns="http://schemas.openxmlformats.org/spreadsheetml/2006/main" count="1703" uniqueCount="411">
  <si>
    <t>Marca temporal</t>
  </si>
  <si>
    <t>Nombre comercial del biofertilizante que utiliza</t>
  </si>
  <si>
    <t>Tipo de cultivo en el que utiliza biofertilizantes</t>
  </si>
  <si>
    <t>Número de manzanas que cultiva</t>
  </si>
  <si>
    <t xml:space="preserve">Si conoce los principales compuestos del biofertilizante, escríbalos a continuación: </t>
  </si>
  <si>
    <t>¿Cuál fue la producción en quintales que obtuvo en su última cosecha por cada manzana de cultivo?</t>
  </si>
  <si>
    <t>¿Ha notado algún cambio en el nivel de desarrollo de sus plantas después de aplicar el biofertilizante? En caso afirmativo, ¿cómo describiría estos cambios?</t>
  </si>
  <si>
    <t xml:space="preserve">¿Con qué frecuencia y en qué cantidad (por ciclo de cultivo) aplica plaguicidas en su cultivo por cada manzana cultivada? </t>
  </si>
  <si>
    <t>¿Ha notado algún cambio en la cantidad de plaguicidas que utiliza después de aplicar el biofertilizante? En caso afirmativo, ¿podría describir estos cambios?</t>
  </si>
  <si>
    <t>¿Ha notado una disminución o aumento en la presencia de plagas en su cultivo después de utilizar biofertilizantes?</t>
  </si>
  <si>
    <t>¿Con qué frecuencia y en qué cantidad (por ciclo de cultivo)  aplica biofertilizantes  en su cultivo por cada manzana?</t>
  </si>
  <si>
    <t xml:space="preserve"> [He notado cambios negativos en mi cultivo después de aplicar biofertilizantes]</t>
  </si>
  <si>
    <t xml:space="preserve"> [He notado que mi cultivo se ve más saludable  desde que uso biofertilizantes]</t>
  </si>
  <si>
    <t xml:space="preserve"> [He notado que mi cultivo resiste más las malas condiciones ambientales]</t>
  </si>
  <si>
    <t xml:space="preserve"> [Mi cultivo se ve más vigoroso en comparación con agricultores de la zona que no utilizan biofertilizantes]</t>
  </si>
  <si>
    <t xml:space="preserve"> [Mi cultivo es más vigoroso desde que utilizo biofertilizantes]</t>
  </si>
  <si>
    <t xml:space="preserve"> [En general estoy muy satisfecho con los resultados obtenidos al utilizar biofertilizantes]</t>
  </si>
  <si>
    <t xml:space="preserve"> [Estoy de satisfecho con la relación precio-calidad del biofertilizante]</t>
  </si>
  <si>
    <t xml:space="preserve"> [Definitivamente recomendaría el uso de biofertilizantes a amigos o colegas]</t>
  </si>
  <si>
    <t xml:space="preserve"> [Considero que el uso de biofertilizantes ha mejorado la calidad de mi cosecha con el tiempo]</t>
  </si>
  <si>
    <t xml:space="preserve"> [He notado un cambio significativo en las ganancias, desde que comencé a utilizar biofertilizantes]</t>
  </si>
  <si>
    <t xml:space="preserve"> [Tengo una buena producción en términos de rendimiento por manzana cultivada]</t>
  </si>
  <si>
    <t xml:space="preserve"> [El biofertilizante cumple con mis necesidades]</t>
  </si>
  <si>
    <t xml:space="preserve"> [Planeo seguir utilizando biofertilizantes en mis cultivos en el futuro]</t>
  </si>
  <si>
    <t>Si tiene algun comentario o recomendación, puede escribirlo a continuación:</t>
  </si>
  <si>
    <t>Crop plus</t>
  </si>
  <si>
    <t>citricos, naranja, papaya y tomate</t>
  </si>
  <si>
    <t>Algas</t>
  </si>
  <si>
    <t>no aplica</t>
  </si>
  <si>
    <t>Si, estos poseen caracteristicas mejores, que al mismo tiempo disminuyen las enfermedades y plagas, por lo que considero que funcionan con fitoprotectantes.</t>
  </si>
  <si>
    <t>5-8 días</t>
  </si>
  <si>
    <t>Si, se utiliza en menos proporción, ya que estos estimulan protección contra virus y sus vectores, porque la planta se encuentra mas protegida.</t>
  </si>
  <si>
    <t>si, es un poco menos</t>
  </si>
  <si>
    <t>cada 15 dias normalmente, pero si se encuentra el cultivo con alguna enfermedad cada 4 dias en dosis alta (100 cc), ya que normalmente la dosis es de 50 cc.</t>
  </si>
  <si>
    <t>Muy en desacuerdo</t>
  </si>
  <si>
    <t>Totalmente de acuerdo</t>
  </si>
  <si>
    <t>Parcialmente de acuerdo</t>
  </si>
  <si>
    <t>Ni de acuerdo ni desacuerdo</t>
  </si>
  <si>
    <t>Los biofertilizantes funcionan mas en frijol que en maíz. Recomiendo una agricultura de conservacion, es decir, utilizar tanto fertilizantes quimicos como organicos.</t>
  </si>
  <si>
    <t>nitroesten nitrogenadoo granulado quintal</t>
  </si>
  <si>
    <t>Maíz</t>
  </si>
  <si>
    <t>0.5 mz</t>
  </si>
  <si>
    <t>nitrogeno</t>
  </si>
  <si>
    <t>60 en media manzana</t>
  </si>
  <si>
    <t>mejor color, vigorosa</t>
  </si>
  <si>
    <t>3 abonadas y quintal por aonada, 16-20-0 al momento de siembra. a los 15 dias primera,  segunda 25, tercera 35 dias</t>
  </si>
  <si>
    <t>etsal liquido 12cc por bombada 17 litros</t>
  </si>
  <si>
    <t>normalmente, canicula hay mas gusano, lloviendo es menos.</t>
  </si>
  <si>
    <t>3 abonadas</t>
  </si>
  <si>
    <t xml:space="preserve">50 dolares nitroesten... plano...
biofertilizantes no pega, son mas caros...
</t>
  </si>
  <si>
    <t>Biopro</t>
  </si>
  <si>
    <t>no</t>
  </si>
  <si>
    <t>80 qq por manzana</t>
  </si>
  <si>
    <t xml:space="preserve">Si, es mas vigoroza </t>
  </si>
  <si>
    <t>2 bombadas por manzana</t>
  </si>
  <si>
    <t>Si, es menor la insidencia despues de usarla</t>
  </si>
  <si>
    <t>Disminución</t>
  </si>
  <si>
    <t>4 bombadas por manzana</t>
  </si>
  <si>
    <t xml:space="preserve">Mi cultivo es para consumo familiar </t>
  </si>
  <si>
    <t>BIOPRO</t>
  </si>
  <si>
    <t>NO</t>
  </si>
  <si>
    <t>78 qq por manzana</t>
  </si>
  <si>
    <t xml:space="preserve">Si, </t>
  </si>
  <si>
    <t>depende de la incidencia de plagas</t>
  </si>
  <si>
    <t>Si, ha disminuido</t>
  </si>
  <si>
    <t>disminución</t>
  </si>
  <si>
    <t>1 litro por bomba,, entre 4 y 5 bombadas</t>
  </si>
  <si>
    <t>biopro</t>
  </si>
  <si>
    <t>1/2 manzana</t>
  </si>
  <si>
    <t xml:space="preserve">37 qq </t>
  </si>
  <si>
    <t>si, se ve mas saludable</t>
  </si>
  <si>
    <t>depende de como vaya la plaga</t>
  </si>
  <si>
    <t>si se observan mucho menos</t>
  </si>
  <si>
    <t>disminucion</t>
  </si>
  <si>
    <t>1 litro por bomba, 3 -4  veces</t>
  </si>
  <si>
    <t xml:space="preserve">SI, SE VE MAS VERDE </t>
  </si>
  <si>
    <t>DEPENDE DE CUANTA PLAGA TENGA, ENTRE 2 BOMBADAS</t>
  </si>
  <si>
    <t>SI, LA PLANTA RESISTE MAS LA PLAGA</t>
  </si>
  <si>
    <t>DISMINUCION</t>
  </si>
  <si>
    <t>5-7 BOMBADAS POR MANZANA</t>
  </si>
  <si>
    <t>83 qq</t>
  </si>
  <si>
    <t>si la planta crece mejor</t>
  </si>
  <si>
    <t>2 bombadas</t>
  </si>
  <si>
    <t xml:space="preserve">si, uso menos </t>
  </si>
  <si>
    <t xml:space="preserve">disminución </t>
  </si>
  <si>
    <t>1 litro por bomba, entre 3 a 4 veces</t>
  </si>
  <si>
    <t>el cultivo es para consumo personal</t>
  </si>
  <si>
    <t>74 qq</t>
  </si>
  <si>
    <t>la planta se desarolla mejor, y crece mas sana</t>
  </si>
  <si>
    <t xml:space="preserve">depende, pero normalmente entre 3 a 5 bombadas </t>
  </si>
  <si>
    <t>la planta es mas resistente a las plagas</t>
  </si>
  <si>
    <t>si,es menos</t>
  </si>
  <si>
    <t xml:space="preserve">uso hasta 6 bombadas </t>
  </si>
  <si>
    <t xml:space="preserve">1/4 </t>
  </si>
  <si>
    <t>22 qq</t>
  </si>
  <si>
    <t>si, crece mejor</t>
  </si>
  <si>
    <t>1 bombada</t>
  </si>
  <si>
    <t>si uso mucho menos</t>
  </si>
  <si>
    <t>unas 3 bombadas</t>
  </si>
  <si>
    <t>Bio amigo</t>
  </si>
  <si>
    <t>Micorrisas</t>
  </si>
  <si>
    <t>No</t>
  </si>
  <si>
    <t xml:space="preserve">Cada 10 días. </t>
  </si>
  <si>
    <t>Cada 10 días</t>
  </si>
  <si>
    <t>Algo en desacuerdo</t>
  </si>
  <si>
    <t>Micorrizas - Bioamigo</t>
  </si>
  <si>
    <t>Maíz, Sorgo/Maicillo</t>
  </si>
  <si>
    <t>1,5 Manzanas</t>
  </si>
  <si>
    <t>Hongos</t>
  </si>
  <si>
    <t>85 quintales</t>
  </si>
  <si>
    <t>Si</t>
  </si>
  <si>
    <t>2 veces, folidol</t>
  </si>
  <si>
    <t>lo mismo</t>
  </si>
  <si>
    <t>disminuyo un poco</t>
  </si>
  <si>
    <t xml:space="preserve">al momento de la siembra polvo de roca y micorrizas en la semilla antes de sembrar </t>
  </si>
  <si>
    <t>Polvo de roca, gallinaza, vacaza</t>
  </si>
  <si>
    <t>0,5 Mz</t>
  </si>
  <si>
    <t>si, arrancan con mas vigor porque también a la siembra uso polvo de roca y eso ayuda a levantar la planta.</t>
  </si>
  <si>
    <t>Yo uso blindaje 3 veces por ciclo</t>
  </si>
  <si>
    <t>ha bajado un poco</t>
  </si>
  <si>
    <t>a bajado un poco</t>
  </si>
  <si>
    <t>1 vez por ciclo</t>
  </si>
  <si>
    <t>Micorrizas</t>
  </si>
  <si>
    <t>1 Mz</t>
  </si>
  <si>
    <t>si, a raíces son mejores</t>
  </si>
  <si>
    <t>2 veces</t>
  </si>
  <si>
    <t>se ha mantenido</t>
  </si>
  <si>
    <t>1 vez</t>
  </si>
  <si>
    <t>Pero siempre uso 16-20-0 mas que todo</t>
  </si>
  <si>
    <t>Polvo de roca, bioamigo</t>
  </si>
  <si>
    <t>Hongo</t>
  </si>
  <si>
    <t>Si, es mas verdecita y se ve mas frondosa</t>
  </si>
  <si>
    <t>2 veces para el cogollero</t>
  </si>
  <si>
    <t>pues siempre uso lo mismo</t>
  </si>
  <si>
    <t>menos</t>
  </si>
  <si>
    <t>2 veces porque cuando siembro y le riego también vacaza</t>
  </si>
  <si>
    <t>Hago 3 abonadas, la segunda la hago con triple 15 y la ultima con sulfato</t>
  </si>
  <si>
    <t>Bocachi</t>
  </si>
  <si>
    <t>Bacteria</t>
  </si>
  <si>
    <t>si, nace mas rápido y la mayoría germina</t>
  </si>
  <si>
    <t>Yo solo uso cipermetrina antes de la siembra</t>
  </si>
  <si>
    <t>los mismo</t>
  </si>
  <si>
    <t>1 sola vez</t>
  </si>
  <si>
    <t>No, yo no lo utilizaria, sirve pero cuesta encontrarlo y con lo que han subido los abonos</t>
  </si>
  <si>
    <t>Rastrojo, micorriza bioamigo, polvo de roca</t>
  </si>
  <si>
    <t>Maíz, Sorgo/Maicillo, Frijol</t>
  </si>
  <si>
    <t>La planta tiene mas follaje y mejora la raiz</t>
  </si>
  <si>
    <t>unas 3 veces para el gusano</t>
  </si>
  <si>
    <t xml:space="preserve">bajo </t>
  </si>
  <si>
    <t>bajo</t>
  </si>
  <si>
    <t>cuando se hara la tierra se le hecha regadito el polvo de roca y el bioamigo se le hecha a la semilla antes de sembrarla, solo eso de ahi sulfato con 16-20-0 mezclado le doy 3 abonadas</t>
  </si>
  <si>
    <t>Gallinaza, rastrojo, bioamigo</t>
  </si>
  <si>
    <t>Maíz, Sorgo/Maicillo, frijol</t>
  </si>
  <si>
    <t>Bueno, mas firme y mejores raices, yo siembro en ladera y la planta crece bien por las raices</t>
  </si>
  <si>
    <t xml:space="preserve">2 veces con volaton </t>
  </si>
  <si>
    <t>poco</t>
  </si>
  <si>
    <t>algo menos</t>
  </si>
  <si>
    <t>3 abonadas con formula y sulfato a los 10, 25 y 35 dias</t>
  </si>
  <si>
    <t>Rastrojo, polvo de roca</t>
  </si>
  <si>
    <t>Nace mas pronto y enraíza mas</t>
  </si>
  <si>
    <t>Yo uso el insecticida misil 2 veces</t>
  </si>
  <si>
    <t>lo mismo como eso no es para la plaga</t>
  </si>
  <si>
    <t>casi igual</t>
  </si>
  <si>
    <t>fijese que como yo dejo el rastrojo y eso ayuda despues con polvo de roca regadito</t>
  </si>
  <si>
    <t>siempre uso 16-20-0 3 abonadas le doy, la primera a la siembra, la segunda a los 15 días y a los 30-35 días la otra</t>
  </si>
  <si>
    <t>Micorrizas bioamigo y polvo de roca</t>
  </si>
  <si>
    <t>1,5 mz</t>
  </si>
  <si>
    <t>microorganismos</t>
  </si>
  <si>
    <t>se ve mejor</t>
  </si>
  <si>
    <t>volaton granulado uso para el gusano una sola vez le pongo</t>
  </si>
  <si>
    <t>menos se usa, llega menos plaga</t>
  </si>
  <si>
    <t>como eso antes de sembra el bioamigo y a la siembra el polvo de roca, ya despues el abono; a los 8 dias uso formula 16-20-0, a los 20 dias otra vez y la ultima alla por los 30-35 dias sulfato</t>
  </si>
  <si>
    <t>yo uso H-59 pero si usara semilla Dekal 390 sacara mas quintales, esa semilla es buena y con el bioamigo ya se enraiza mejor y hay mas vida</t>
  </si>
  <si>
    <t>Sorgo/Maicillo</t>
  </si>
  <si>
    <t>1/4</t>
  </si>
  <si>
    <t>37 qq</t>
  </si>
  <si>
    <t>Si, la planta reciste mas la plaga</t>
  </si>
  <si>
    <t>1-2 veces por ciclo</t>
  </si>
  <si>
    <t>Si, ahora uso menos</t>
  </si>
  <si>
    <t>38 qq</t>
  </si>
  <si>
    <t>si, la planta se va desarollando mejor</t>
  </si>
  <si>
    <t xml:space="preserve">2 veces </t>
  </si>
  <si>
    <t>si con el tiempo he usado menos</t>
  </si>
  <si>
    <t>ORGANOSATO</t>
  </si>
  <si>
    <t>Maíz, Sorgo/Maicillo, Caña de azúcar</t>
  </si>
  <si>
    <t>Ácidos fúlvicos y húmicos</t>
  </si>
  <si>
    <t>98 quintales</t>
  </si>
  <si>
    <t>Si, mayor llenado de grano en maíz, el rebrote en sorgo es mayor.</t>
  </si>
  <si>
    <t>2 veces, aplico Volaton granulado 12 Kg/Mz</t>
  </si>
  <si>
    <t>No ha variado mucho</t>
  </si>
  <si>
    <t>Es similar</t>
  </si>
  <si>
    <t>3 veces, 150 cc por bomba de 4 galones</t>
  </si>
  <si>
    <t>El litro del Organosato ronda los $26 litro</t>
  </si>
  <si>
    <t>Albamin</t>
  </si>
  <si>
    <t>Arroz</t>
  </si>
  <si>
    <t>Nitrógeno orgánico, materia orgánica y aminoácidos</t>
  </si>
  <si>
    <t>150 quintales</t>
  </si>
  <si>
    <t>Mas frondoso y aumento en el peso del gajo; también se debe a que cambiamos de utilizar semilla a criolla a otra semilla mejorada.</t>
  </si>
  <si>
    <t>3 veces</t>
  </si>
  <si>
    <t>si ha bajado</t>
  </si>
  <si>
    <t>dismiuyo</t>
  </si>
  <si>
    <t>4 veces, 500 ml por 200 litros de agua</t>
  </si>
  <si>
    <t>la verdad que siempre es bueno utilizar otra formulas, el medio litro anda mas o menos a $15 de este producto</t>
  </si>
  <si>
    <t>Organosato</t>
  </si>
  <si>
    <t>1 mz</t>
  </si>
  <si>
    <t>Nitrogeno</t>
  </si>
  <si>
    <t>Es para forraje</t>
  </si>
  <si>
    <t>Si es mas verdecito y al rebrote me da mas para el silo.</t>
  </si>
  <si>
    <t>1 vez, 1 litro de lannate liquido (piton)</t>
  </si>
  <si>
    <t xml:space="preserve"> mas bajo</t>
  </si>
  <si>
    <t>siempre llegan pero ya con lannate logra matener</t>
  </si>
  <si>
    <t>3 veces 200 cc por bomba de 4 galones</t>
  </si>
  <si>
    <t>Algas marinas</t>
  </si>
  <si>
    <t>Mejor llenado</t>
  </si>
  <si>
    <t>3 veces, y galón por manzana</t>
  </si>
  <si>
    <t>1 vez; 0,5 L/Mz</t>
  </si>
  <si>
    <t>Este biofertilizante me sirve puntualmente para llenado de grano, de ahi hago 3 abonadas pero con quimico</t>
  </si>
  <si>
    <t xml:space="preserve">Algas Marinas </t>
  </si>
  <si>
    <t>Probablemente un mejor llenado</t>
  </si>
  <si>
    <t>3 veces y un galón por manzana</t>
  </si>
  <si>
    <t>1 vez... 0,5 L/Mz</t>
  </si>
  <si>
    <t>Este biofertilizante me sirve puntualmente para favorecer llenado de grano de ahí no considero que tenga otros efectos, de ahí hago 3 abonadas pero con químico y es lo que realmente me levanta desde estadios tempranos la planta.</t>
  </si>
  <si>
    <t xml:space="preserve">RESPUESTA </t>
  </si>
  <si>
    <t>PRODUCTO</t>
  </si>
  <si>
    <t>Crop Plos</t>
  </si>
  <si>
    <t>Nitroesten</t>
  </si>
  <si>
    <t>Bioamigo</t>
  </si>
  <si>
    <t>BIOAMIGO</t>
  </si>
  <si>
    <t>Polvo de roca, gallinaza,vacaza</t>
  </si>
  <si>
    <t>Bioamigo (polvo roca)</t>
  </si>
  <si>
    <t>Bioamigo (rastrojo, polvo roca)</t>
  </si>
  <si>
    <t>Bioamigo (gallinaza, y rastrojo)</t>
  </si>
  <si>
    <t>Rastrojo y polvo de roca</t>
  </si>
  <si>
    <t>Bioamigo (polvo de roca)</t>
  </si>
  <si>
    <t>ORGOSANTO</t>
  </si>
  <si>
    <t>ALBAMIN</t>
  </si>
  <si>
    <t>CROP PLUS</t>
  </si>
  <si>
    <t>CULTIVO</t>
  </si>
  <si>
    <t>MAIZ</t>
  </si>
  <si>
    <t xml:space="preserve">Maíz </t>
  </si>
  <si>
    <t>SORGO</t>
  </si>
  <si>
    <t>ARROZ</t>
  </si>
  <si>
    <t># MANZANAS</t>
  </si>
  <si>
    <t>0.5</t>
  </si>
  <si>
    <t>COMPUESTO</t>
  </si>
  <si>
    <t>Nitrogeo</t>
  </si>
  <si>
    <t>X</t>
  </si>
  <si>
    <t>Bacterias</t>
  </si>
  <si>
    <t>Microorganismos</t>
  </si>
  <si>
    <t>Acidos fúlvicos y húmicos</t>
  </si>
  <si>
    <t>PRODUC. X MANZ.</t>
  </si>
  <si>
    <t>x</t>
  </si>
  <si>
    <t>60  media manzana</t>
  </si>
  <si>
    <t xml:space="preserve">HA NOTADO UN CAMBIO EN 
EL NIVEL DE DESAROLLO? </t>
  </si>
  <si>
    <t>Si, mejor color 
y mas vigorosa</t>
  </si>
  <si>
    <t xml:space="preserve">
Si, es mas vigorosa</t>
  </si>
  <si>
    <t>si</t>
  </si>
  <si>
    <t>si se ve mas verde</t>
  </si>
  <si>
    <t>si, la planta crece mejor</t>
  </si>
  <si>
    <t>Si,la planta se desarolla
y crece mas sana</t>
  </si>
  <si>
    <t>Si, crece mejor</t>
  </si>
  <si>
    <t xml:space="preserve">
no</t>
  </si>
  <si>
    <t>Si, arranca con mas vigor</t>
  </si>
  <si>
    <t xml:space="preserve">
Si,las raices son mejores</t>
  </si>
  <si>
    <t>Si, es mas verde 
y frondosa</t>
  </si>
  <si>
    <t>Nace mas rapido y 
la mayoría germina</t>
  </si>
  <si>
    <t>Si, la planta tiene 
mas follaje y mejora 
la raiz</t>
  </si>
  <si>
    <t>SI, mas firme, y mejores raices</t>
  </si>
  <si>
    <t xml:space="preserve">Nace mas pronto y 
enraìza mas </t>
  </si>
  <si>
    <t>Se ve mejor</t>
  </si>
  <si>
    <t>Si, la planta reciste 
mas la plaga</t>
  </si>
  <si>
    <t>Si, la planta crece mejor</t>
  </si>
  <si>
    <t>Mayor llenado del grano de maiz</t>
  </si>
  <si>
    <t>Mas frondoso y aumento el 
peso del gajo</t>
  </si>
  <si>
    <t>La planta es mas verde y 
el rebrote de mas para el silo</t>
  </si>
  <si>
    <t>Si, mejores carácteristicas y mayor resistencia a plagas</t>
  </si>
  <si>
    <t>FRECUENCIA DE USO 
DE PLAGUICIDAS</t>
  </si>
  <si>
    <t>depende de la inicidencia
de plagas</t>
  </si>
  <si>
    <t xml:space="preserve">depende </t>
  </si>
  <si>
    <t>HA NOTADO UN CAMBIO EN 
EL USO DE PLAGICIDAS?</t>
  </si>
  <si>
    <t>Si, se usa menos proporción</t>
  </si>
  <si>
    <t>Si, es menor la insidencia 
despues de usarla</t>
  </si>
  <si>
    <t>si se observan
mucho menos</t>
  </si>
  <si>
    <t>si, la planta resiste 
mas la plaga</t>
  </si>
  <si>
    <t>Si, uso menos</t>
  </si>
  <si>
    <t>ninguno</t>
  </si>
  <si>
    <t>Ha bajado un poco</t>
  </si>
  <si>
    <t>Se ha mantenido</t>
  </si>
  <si>
    <t>SIempre uso lo 
mismo</t>
  </si>
  <si>
    <t>Bajo</t>
  </si>
  <si>
    <t>Menos se usa, llega 
menos plaga</t>
  </si>
  <si>
    <t>si, uso menos</t>
  </si>
  <si>
    <t>Si ha bajado</t>
  </si>
  <si>
    <t>Es mas baji</t>
  </si>
  <si>
    <t>DISMINUCION O AUMENTO?</t>
  </si>
  <si>
    <t>si, es menos</t>
  </si>
  <si>
    <t>Lo mismo</t>
  </si>
  <si>
    <t>Similar</t>
  </si>
  <si>
    <t>ninguna</t>
  </si>
  <si>
    <t>FRECUENCIA DE USO DEL
BIOFERTILIZANTE x ciclo</t>
  </si>
  <si>
    <t>TOTAL PARTE II</t>
  </si>
  <si>
    <t>TOTAL PARTE III</t>
  </si>
  <si>
    <t>Nombre comercial del biofertilizante 
que utiliza</t>
  </si>
  <si>
    <t>Tipo de cultivo 
en el que utiliza 
biofertilizantes</t>
  </si>
  <si>
    <t>[He notado cambios 
negativos en mi cultivo
después de aplicar 
biofertilizantes]</t>
  </si>
  <si>
    <t xml:space="preserve"> [He notado que mi 
cultivo se ve más 
saludable desde 
que uso biofertilizantes]</t>
  </si>
  <si>
    <t xml:space="preserve"> [He notado que mi 
cultivo resiste más 
las malas condiciones 
ambientales]</t>
  </si>
  <si>
    <t xml:space="preserve"> [Mi cultivo se ve más vigoroso 
en comparación con 
agricultores de la 
zona que no utilizan biofertilizantes]</t>
  </si>
  <si>
    <t>[Mi cultivo es más 
vigoroso desde que
utilizo biofertilizantes]</t>
  </si>
  <si>
    <t>[En general estoy 
muy satisfecho con los 
resultados obtenidos al 
utilizar biofertilizantes]</t>
  </si>
  <si>
    <t xml:space="preserve"> [Estoy de satisfecho 
con la relación precio-
calidad del biofertilizante]</t>
  </si>
  <si>
    <t xml:space="preserve"> [Definitivamente recomendaría 
el uso de biofertilizantes a 
amigos o colegas]</t>
  </si>
  <si>
    <t xml:space="preserve"> [Considero que el uso 
de biofertilizantes ha 
mejorado la calidad de 
mi cosecha con el tiempo]</t>
  </si>
  <si>
    <t xml:space="preserve"> [He notado un cambio significativo 
en las ganancias, desde que 
comencé a utilizar biofertilizantes]</t>
  </si>
  <si>
    <t xml:space="preserve"> [Tengo una buena producción 
en términos de rendimiento por 
manzana cultivada]</t>
  </si>
  <si>
    <t xml:space="preserve"> [El biofertilizante cumple 
con mis necesidades]</t>
  </si>
  <si>
    <t xml:space="preserve"> [Planeo seguir utilizando 
biofertilizantes en mis 
cultivos en el futuro]</t>
  </si>
  <si>
    <t># RESP-
UESTA</t>
  </si>
  <si>
    <t>TIPO 
CULTIVO</t>
  </si>
  <si>
    <t># MANZANAS
CULTIVADAS</t>
  </si>
  <si>
    <t>CONOCIMIENTO 
DEL COMPUESTO</t>
  </si>
  <si>
    <t>PRODUCCIÓN
X MANZANA</t>
  </si>
  <si>
    <t>FRECUENCIA
DEL PLAGUICIDAS</t>
  </si>
  <si>
    <t>DISMINUCIÓN
/AUMENTO</t>
  </si>
  <si>
    <t xml:space="preserve">USO DE BIOFERTILIZANTES EN EL CULTIVO DE MAÍZ </t>
  </si>
  <si>
    <t>NITROESTEN</t>
  </si>
  <si>
    <t>SI</t>
  </si>
  <si>
    <t>DISMINUCIÓN</t>
  </si>
  <si>
    <t>PROMEDIO</t>
  </si>
  <si>
    <t>MODA</t>
  </si>
  <si>
    <t>P</t>
  </si>
  <si>
    <t>NITROXSTEND</t>
  </si>
  <si>
    <t>USO DE PLAGUCIDAS</t>
  </si>
  <si>
    <t>T</t>
  </si>
  <si>
    <t>TIPO DE CULTIVO</t>
  </si>
  <si>
    <t>NINGUNO</t>
  </si>
  <si>
    <t>FRECUENCIA DE USO</t>
  </si>
  <si>
    <t>TIPO DE BIOFERTILIZANTE</t>
  </si>
  <si>
    <t>ENMIENDAS ORGANICAS</t>
  </si>
  <si>
    <t>MANZANAS CULTIVADAS MODA</t>
  </si>
  <si>
    <t>DATOS</t>
  </si>
  <si>
    <t>PORCENTAJE</t>
  </si>
  <si>
    <t>CANTIDAD</t>
  </si>
  <si>
    <t>TOTAL</t>
  </si>
  <si>
    <t>18</t>
  </si>
  <si>
    <t>CONOCE EL COMPUESTO</t>
  </si>
  <si>
    <t>NO CONOCE EL COMPUESTO</t>
  </si>
  <si>
    <t>NOTA UNA DISMINUCIÓN</t>
  </si>
  <si>
    <t>NO NOTA NINGUN CAMBIO</t>
  </si>
  <si>
    <t>QQ X MANZANA</t>
  </si>
  <si>
    <t>0.5 MZ CULTIVADAS</t>
  </si>
  <si>
    <t>ENTRE 1-2 MZ CULTIVADAS</t>
  </si>
  <si>
    <t>MAS DE 3 MZ CULTIVADAS</t>
  </si>
  <si>
    <t>Formula del procentaje de aumento</t>
  </si>
  <si>
    <t>PARTE II: NIVEL DE CAMBIOS EN EL CULTIVO</t>
  </si>
  <si>
    <t xml:space="preserve">Nivel de satisfacción </t>
  </si>
  <si>
    <t>Nivel de desarollo del cultivo</t>
  </si>
  <si>
    <t>Ago en desacuerdo</t>
  </si>
  <si>
    <t>Alto</t>
  </si>
  <si>
    <t>32-40</t>
  </si>
  <si>
    <t>19-22</t>
  </si>
  <si>
    <t>Medio</t>
  </si>
  <si>
    <t>17-31</t>
  </si>
  <si>
    <t>14-18</t>
  </si>
  <si>
    <t>8 -16 puntos</t>
  </si>
  <si>
    <t>8-13</t>
  </si>
  <si>
    <t>Toralmente de acuerdo</t>
  </si>
  <si>
    <t>N°</t>
  </si>
  <si>
    <t>He notado cambios negativos en mi cultivo después de aplicar biofertilizantes</t>
  </si>
  <si>
    <t>a</t>
  </si>
  <si>
    <t>b</t>
  </si>
  <si>
    <t>En general estoy muy satisfecho con los resultados obtenidos al utilizar biofertilizantes</t>
  </si>
  <si>
    <t>He notado que mi cultivo se ve más saludable desde que uso biofertilizantes</t>
  </si>
  <si>
    <t>Estoy de satisfecho con la relación precio-calidad del biofertilizante</t>
  </si>
  <si>
    <t>He notado que mi cultivo resiste más las malas condiciones ambientales</t>
  </si>
  <si>
    <t>Definitivamente recomendaría el uso de biofertilizantes a amigos o colegas</t>
  </si>
  <si>
    <t>Mi cultivo se ve más vigoroso en comparación con agricultores de la zona que no utilizan biofertilizantes</t>
  </si>
  <si>
    <t>Considero que el uso de biofertilizantes ha mejorado la calidad de mi cosecha con el tiempo</t>
  </si>
  <si>
    <t>Mi cultivo es más vigoroso desde que utilizo biofertilizantes</t>
  </si>
  <si>
    <t>He notado un cambio significativo en las ganancias, desde que comencé a utilizar biofertilizantes</t>
  </si>
  <si>
    <t>Tengo una buena producción en términos de rendimiento por manzana cultivada</t>
  </si>
  <si>
    <t>N° RESPUESTAS</t>
  </si>
  <si>
    <t>TABLA 1</t>
  </si>
  <si>
    <t>TABLA 2</t>
  </si>
  <si>
    <t>TIPO DE 
CULTIVO</t>
  </si>
  <si>
    <t>TIPO DE BIO-
FERTILIZANTE</t>
  </si>
  <si>
    <t>POTENCIAL</t>
  </si>
  <si>
    <t>El biofertilizante cumple con mis necesidades</t>
  </si>
  <si>
    <t>ALTO</t>
  </si>
  <si>
    <t>Planeo seguir utilizando biofertilizantes en mis cultivos en el futuro</t>
  </si>
  <si>
    <t>NIVEL DE DESAROLLO</t>
  </si>
  <si>
    <t>NIVEL</t>
  </si>
  <si>
    <t>TOTAL TABLA 1</t>
  </si>
  <si>
    <t>MEDIO ALTO</t>
  </si>
  <si>
    <t>MEDIO</t>
  </si>
  <si>
    <t>DESAROLLO</t>
  </si>
  <si>
    <t>SATISFACCIÓN</t>
  </si>
  <si>
    <t>BAJO</t>
  </si>
  <si>
    <t>NIVEL DE SATISFACCIÓN</t>
  </si>
  <si>
    <t>TOTAL TABLA 2</t>
  </si>
  <si>
    <t>MEZCLA 1</t>
  </si>
  <si>
    <t>BOCACHI</t>
  </si>
  <si>
    <t>MEZCLA 2</t>
  </si>
  <si>
    <t>NIVEL DE DESAROLLO Y SATISFACCIÓN POR TIPO DE BIOFERTILIZANTE</t>
  </si>
  <si>
    <t xml:space="preserve">NIVEL DE DESAROLLO POR TIPO DE CULTIVO </t>
  </si>
  <si>
    <t>NIVEL DE SATISFACCIÓN POR TIPO DE CULTIVO</t>
  </si>
  <si>
    <t xml:space="preserve"> ALTO</t>
  </si>
  <si>
    <t xml:space="preserve">NIVEL DE DESAROLLO Y SATISFACCIÓN POR TIPO DE CULTIVO </t>
  </si>
  <si>
    <t>NIVEL DE SATISFACCIÓN POR BIOFERTILIZANTE</t>
  </si>
  <si>
    <t>ALBAMI</t>
  </si>
  <si>
    <t>NIVEL DE DESAROLLO POR BIOFERTILIZANTE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</si>
</sst>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.m"/>
    <numFmt numFmtId="166" formatCode="0.0%"/>
    <numFmt numFmtId="167" formatCode="#,##0.0"/>
  </numFmts>
  <fonts count="13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/>
    <font>
      <b/>
      <color rgb="FFFFFFFF"/>
      <name val="Arial"/>
    </font>
    <font>
      <b/>
      <sz val="9.0"/>
      <color rgb="FFFFFFFF"/>
      <name val="Arial"/>
    </font>
    <font>
      <sz val="9.0"/>
      <color rgb="FFFFFFFF"/>
      <name val="Arial"/>
    </font>
    <font>
      <color rgb="FF000000"/>
      <name val="Arial"/>
    </font>
    <font>
      <sz val="9.0"/>
      <color rgb="FF00000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57BB8A"/>
        <bgColor rgb="FF57BB8A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22">
    <border/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wrapText="1"/>
    </xf>
    <xf borderId="0" fillId="3" fontId="3" numFmtId="0" xfId="0" applyAlignment="1" applyFill="1" applyFont="1">
      <alignment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4" fontId="3" numFmtId="164" xfId="0" applyAlignment="1" applyFill="1" applyFont="1" applyNumberFormat="1">
      <alignment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3" numFmtId="0" xfId="0" applyAlignment="1" applyFont="1">
      <alignment shrinkToFit="0" wrapText="1"/>
    </xf>
    <xf quotePrefix="1" borderId="0" fillId="4" fontId="3" numFmtId="0" xfId="0" applyAlignment="1" applyFont="1">
      <alignment horizontal="center" shrinkToFit="0" vertical="center" wrapText="1"/>
    </xf>
    <xf borderId="0" fillId="5" fontId="3" numFmtId="164" xfId="0" applyAlignment="1" applyFill="1" applyFont="1" applyNumberFormat="1">
      <alignment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shrinkToFit="0" wrapText="1"/>
    </xf>
    <xf borderId="0" fillId="6" fontId="3" numFmtId="164" xfId="0" applyAlignment="1" applyFill="1" applyFont="1" applyNumberFormat="1">
      <alignment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6" fontId="3" numFmtId="0" xfId="0" applyAlignment="1" applyFont="1">
      <alignment shrinkToFit="0" wrapText="1"/>
    </xf>
    <xf borderId="0" fillId="7" fontId="3" numFmtId="164" xfId="0" applyAlignment="1" applyFill="1" applyFont="1" applyNumberFormat="1">
      <alignment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shrinkToFit="0" wrapText="1"/>
    </xf>
    <xf borderId="0" fillId="8" fontId="3" numFmtId="164" xfId="0" applyAlignment="1" applyFill="1" applyFont="1" applyNumberFormat="1">
      <alignment shrinkToFit="0" vertical="center" wrapText="1"/>
    </xf>
    <xf borderId="0" fillId="8" fontId="3" numFmtId="0" xfId="0" applyAlignment="1" applyFont="1">
      <alignment horizontal="center" shrinkToFit="0" vertical="center" wrapText="1"/>
    </xf>
    <xf borderId="0" fillId="8" fontId="3" numFmtId="0" xfId="0" applyAlignment="1" applyFont="1">
      <alignment shrinkToFit="0" wrapText="1"/>
    </xf>
    <xf borderId="0" fillId="3" fontId="3" numFmtId="164" xfId="0" applyAlignment="1" applyFont="1" applyNumberFormat="1">
      <alignment shrinkToFit="0" vertical="center" wrapText="1"/>
    </xf>
    <xf borderId="0" fillId="3" fontId="3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0" fillId="0" fontId="3" numFmtId="0" xfId="0" applyFont="1"/>
    <xf borderId="1" fillId="9" fontId="5" numFmtId="0" xfId="0" applyAlignment="1" applyBorder="1" applyFill="1" applyFont="1">
      <alignment horizontal="center"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2" fillId="9" fontId="5" numFmtId="0" xfId="0" applyAlignment="1" applyBorder="1" applyFont="1">
      <alignment horizontal="center" readingOrder="0" shrinkToFit="0" vertical="center" wrapText="1"/>
    </xf>
    <xf borderId="3" fillId="9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shrinkToFit="0" vertical="center" wrapText="1"/>
    </xf>
    <xf borderId="8" fillId="0" fontId="3" numFmtId="165" xfId="0" applyAlignment="1" applyBorder="1" applyFont="1" applyNumberFormat="1">
      <alignment horizontal="center" shrinkToFit="0" vertical="center" wrapText="1"/>
    </xf>
    <xf borderId="8" fillId="0" fontId="3" numFmtId="165" xfId="0" applyAlignment="1" applyBorder="1" applyFont="1" applyNumberFormat="1">
      <alignment shrinkToFit="0" vertical="center" wrapText="1"/>
    </xf>
    <xf borderId="12" fillId="0" fontId="6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5" fillId="0" fontId="3" numFmtId="165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10" fontId="8" numFmtId="0" xfId="0" applyAlignment="1" applyFill="1" applyFont="1">
      <alignment horizontal="center" shrinkToFit="0" vertical="top" wrapText="0"/>
    </xf>
    <xf borderId="15" fillId="10" fontId="8" numFmtId="0" xfId="0" applyAlignment="1" applyBorder="1" applyFont="1">
      <alignment horizontal="center" shrinkToFit="0" vertical="top" wrapText="0"/>
    </xf>
    <xf borderId="0" fillId="10" fontId="8" numFmtId="0" xfId="0" applyAlignment="1" applyFont="1">
      <alignment horizontal="center" shrinkToFit="0" vertical="center" wrapText="1"/>
    </xf>
    <xf borderId="16" fillId="0" fontId="7" numFmtId="0" xfId="0" applyBorder="1" applyFont="1"/>
    <xf borderId="17" fillId="0" fontId="7" numFmtId="0" xfId="0" applyBorder="1" applyFont="1"/>
    <xf borderId="18" fillId="0" fontId="3" numFmtId="0" xfId="0" applyBorder="1" applyFont="1"/>
    <xf borderId="18" fillId="4" fontId="3" numFmtId="0" xfId="0" applyBorder="1" applyFont="1"/>
    <xf borderId="18" fillId="5" fontId="3" numFmtId="0" xfId="0" applyBorder="1" applyFont="1"/>
    <xf borderId="18" fillId="6" fontId="3" numFmtId="0" xfId="0" applyBorder="1" applyFont="1"/>
    <xf borderId="0" fillId="4" fontId="3" numFmtId="0" xfId="0" applyFont="1"/>
    <xf borderId="17" fillId="4" fontId="3" numFmtId="0" xfId="0" applyBorder="1" applyFont="1"/>
    <xf borderId="15" fillId="4" fontId="3" numFmtId="0" xfId="0" applyBorder="1" applyFont="1"/>
    <xf borderId="18" fillId="7" fontId="3" numFmtId="0" xfId="0" applyBorder="1" applyFont="1"/>
    <xf borderId="0" fillId="8" fontId="3" numFmtId="0" xfId="0" applyFont="1"/>
    <xf borderId="17" fillId="8" fontId="3" numFmtId="0" xfId="0" applyBorder="1" applyFont="1"/>
    <xf borderId="0" fillId="7" fontId="3" numFmtId="0" xfId="0" applyFont="1"/>
    <xf borderId="19" fillId="7" fontId="3" numFmtId="0" xfId="0" applyBorder="1" applyFont="1"/>
    <xf borderId="0" fillId="3" fontId="3" numFmtId="0" xfId="0" applyFont="1"/>
    <xf borderId="19" fillId="3" fontId="3" numFmtId="0" xfId="0" applyBorder="1" applyFont="1"/>
    <xf borderId="9" fillId="10" fontId="9" numFmtId="0" xfId="0" applyAlignment="1" applyBorder="1" applyFont="1">
      <alignment horizontal="center" shrinkToFit="0" wrapText="1"/>
    </xf>
    <xf borderId="11" fillId="0" fontId="7" numFmtId="0" xfId="0" applyBorder="1" applyFont="1"/>
    <xf borderId="8" fillId="10" fontId="10" numFmtId="9" xfId="0" applyAlignment="1" applyBorder="1" applyFont="1" applyNumberFormat="1">
      <alignment horizontal="left" shrinkToFit="0" wrapText="1"/>
    </xf>
    <xf borderId="8" fillId="10" fontId="10" numFmtId="166" xfId="0" applyAlignment="1" applyBorder="1" applyFont="1" applyNumberFormat="1">
      <alignment horizontal="left" shrinkToFit="0" wrapText="1"/>
    </xf>
    <xf borderId="9" fillId="10" fontId="10" numFmtId="9" xfId="0" applyAlignment="1" applyBorder="1" applyFont="1" applyNumberFormat="1">
      <alignment horizontal="left" shrinkToFit="0" wrapText="1"/>
    </xf>
    <xf borderId="19" fillId="10" fontId="10" numFmtId="166" xfId="0" applyAlignment="1" applyBorder="1" applyFont="1" applyNumberFormat="1">
      <alignment horizontal="left" shrinkToFit="0" wrapText="1"/>
    </xf>
    <xf borderId="11" fillId="10" fontId="10" numFmtId="9" xfId="0" applyAlignment="1" applyBorder="1" applyFont="1" applyNumberFormat="1">
      <alignment horizontal="left" shrinkToFit="0" wrapText="1"/>
    </xf>
    <xf borderId="0" fillId="0" fontId="3" numFmtId="10" xfId="0" applyFont="1" applyNumberFormat="1"/>
    <xf borderId="5" fillId="8" fontId="3" numFmtId="0" xfId="0" applyBorder="1" applyFont="1"/>
    <xf borderId="5" fillId="8" fontId="6" numFmtId="0" xfId="0" applyAlignment="1" applyBorder="1" applyFont="1">
      <alignment horizontal="center"/>
    </xf>
    <xf borderId="0" fillId="11" fontId="6" numFmtId="0" xfId="0" applyFill="1" applyFont="1"/>
    <xf borderId="8" fillId="8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8" fillId="12" fontId="6" numFmtId="0" xfId="0" applyAlignment="1" applyBorder="1" applyFill="1" applyFont="1">
      <alignment horizontal="center"/>
    </xf>
    <xf borderId="8" fillId="12" fontId="3" numFmtId="0" xfId="0" applyAlignment="1" applyBorder="1" applyFont="1">
      <alignment horizontal="center"/>
    </xf>
    <xf borderId="8" fillId="12" fontId="3" numFmtId="167" xfId="0" applyAlignment="1" applyBorder="1" applyFont="1" applyNumberFormat="1">
      <alignment horizontal="center"/>
    </xf>
    <xf borderId="8" fillId="12" fontId="3" numFmtId="3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/>
    </xf>
    <xf borderId="8" fillId="0" fontId="3" numFmtId="3" xfId="0" applyAlignment="1" applyBorder="1" applyFont="1" applyNumberFormat="1">
      <alignment horizontal="center"/>
    </xf>
    <xf borderId="8" fillId="0" fontId="3" numFmtId="167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8" fillId="13" fontId="6" numFmtId="0" xfId="0" applyAlignment="1" applyBorder="1" applyFill="1" applyFont="1">
      <alignment horizontal="center"/>
    </xf>
    <xf borderId="8" fillId="13" fontId="3" numFmtId="0" xfId="0" applyAlignment="1" applyBorder="1" applyFont="1">
      <alignment horizontal="center"/>
    </xf>
    <xf borderId="8" fillId="13" fontId="3" numFmtId="167" xfId="0" applyAlignment="1" applyBorder="1" applyFont="1" applyNumberFormat="1">
      <alignment horizontal="center"/>
    </xf>
    <xf borderId="8" fillId="13" fontId="3" numFmtId="3" xfId="0" applyAlignment="1" applyBorder="1" applyFont="1" applyNumberFormat="1">
      <alignment horizontal="center"/>
    </xf>
    <xf borderId="8" fillId="11" fontId="3" numFmtId="0" xfId="0" applyAlignment="1" applyBorder="1" applyFont="1">
      <alignment horizontal="center"/>
    </xf>
    <xf borderId="8" fillId="11" fontId="3" numFmtId="3" xfId="0" applyAlignment="1" applyBorder="1" applyFont="1" applyNumberFormat="1">
      <alignment horizontal="center"/>
    </xf>
    <xf borderId="0" fillId="14" fontId="11" numFmtId="0" xfId="0" applyAlignment="1" applyFill="1" applyFont="1">
      <alignment horizontal="center"/>
    </xf>
    <xf borderId="20" fillId="15" fontId="6" numFmtId="0" xfId="0" applyAlignment="1" applyBorder="1" applyFill="1" applyFont="1">
      <alignment horizontal="center" vertical="bottom"/>
    </xf>
    <xf borderId="20" fillId="0" fontId="7" numFmtId="0" xfId="0" applyBorder="1" applyFont="1"/>
    <xf borderId="11" fillId="0" fontId="6" numFmtId="0" xfId="0" applyAlignment="1" applyBorder="1" applyFont="1">
      <alignment horizontal="center" vertical="bottom"/>
    </xf>
    <xf borderId="6" fillId="15" fontId="3" numFmtId="2" xfId="0" applyAlignment="1" applyBorder="1" applyFont="1" applyNumberFormat="1">
      <alignment horizontal="center" vertical="bottom"/>
    </xf>
    <xf borderId="8" fillId="5" fontId="6" numFmtId="0" xfId="0" applyAlignment="1" applyBorder="1" applyFont="1">
      <alignment horizontal="center"/>
    </xf>
    <xf borderId="8" fillId="5" fontId="3" numFmtId="0" xfId="0" applyAlignment="1" applyBorder="1" applyFont="1">
      <alignment horizontal="center"/>
    </xf>
    <xf borderId="8" fillId="5" fontId="3" numFmtId="167" xfId="0" applyAlignment="1" applyBorder="1" applyFont="1" applyNumberFormat="1">
      <alignment horizontal="center"/>
    </xf>
    <xf borderId="8" fillId="5" fontId="3" numFmtId="3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6" fillId="15" fontId="3" numFmtId="0" xfId="0" applyAlignment="1" applyBorder="1" applyFont="1">
      <alignment horizontal="center"/>
    </xf>
    <xf borderId="8" fillId="5" fontId="3" numFmtId="165" xfId="0" applyAlignment="1" applyBorder="1" applyFont="1" applyNumberFormat="1">
      <alignment horizontal="center"/>
    </xf>
    <xf borderId="8" fillId="11" fontId="3" numFmtId="167" xfId="0" applyAlignment="1" applyBorder="1" applyFont="1" applyNumberFormat="1">
      <alignment horizontal="center"/>
    </xf>
    <xf borderId="21" fillId="15" fontId="6" numFmtId="0" xfId="0" applyAlignment="1" applyBorder="1" applyFont="1">
      <alignment horizontal="center" vertical="bottom"/>
    </xf>
    <xf borderId="21" fillId="0" fontId="7" numFmtId="0" xfId="0" applyBorder="1" applyFont="1"/>
    <xf borderId="21" fillId="0" fontId="6" numFmtId="0" xfId="0" applyAlignment="1" applyBorder="1" applyFont="1">
      <alignment horizontal="center" vertical="bottom"/>
    </xf>
    <xf borderId="0" fillId="15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16" fontId="6" numFmtId="0" xfId="0" applyAlignment="1" applyFill="1" applyFont="1">
      <alignment horizontal="center"/>
    </xf>
    <xf borderId="0" fillId="0" fontId="3" numFmtId="167" xfId="0" applyAlignment="1" applyFont="1" applyNumberFormat="1">
      <alignment horizontal="center"/>
    </xf>
    <xf borderId="8" fillId="8" fontId="3" numFmtId="0" xfId="0" applyAlignment="1" applyBorder="1" applyFont="1">
      <alignment horizontal="center"/>
    </xf>
    <xf borderId="8" fillId="17" fontId="6" numFmtId="0" xfId="0" applyAlignment="1" applyBorder="1" applyFill="1" applyFont="1">
      <alignment horizontal="center"/>
    </xf>
    <xf borderId="8" fillId="0" fontId="3" numFmtId="3" xfId="0" applyAlignment="1" applyBorder="1" applyFont="1" applyNumberFormat="1">
      <alignment horizontal="center" vertical="bottom"/>
    </xf>
    <xf borderId="8" fillId="3" fontId="6" numFmtId="0" xfId="0" applyAlignment="1" applyBorder="1" applyFont="1">
      <alignment horizontal="center"/>
    </xf>
    <xf borderId="8" fillId="3" fontId="3" numFmtId="0" xfId="0" applyAlignment="1" applyBorder="1" applyFont="1">
      <alignment horizontal="center"/>
    </xf>
    <xf borderId="8" fillId="3" fontId="3" numFmtId="167" xfId="0" applyAlignment="1" applyBorder="1" applyFont="1" applyNumberFormat="1">
      <alignment horizontal="center"/>
    </xf>
    <xf borderId="8" fillId="3" fontId="3" numFmtId="3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 vertical="bottom"/>
    </xf>
    <xf borderId="0" fillId="14" fontId="11" numFmtId="0" xfId="0" applyAlignment="1" applyFont="1">
      <alignment horizontal="left"/>
    </xf>
    <xf borderId="11" fillId="3" fontId="6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6" fillId="3" fontId="3" numFmtId="167" xfId="0" applyAlignment="1" applyBorder="1" applyFont="1" applyNumberFormat="1">
      <alignment horizontal="center" vertical="bottom"/>
    </xf>
    <xf borderId="8" fillId="18" fontId="3" numFmtId="0" xfId="0" applyAlignment="1" applyBorder="1" applyFill="1" applyFont="1">
      <alignment horizontal="center"/>
    </xf>
    <xf borderId="8" fillId="18" fontId="3" numFmtId="167" xfId="0" applyAlignment="1" applyBorder="1" applyFont="1" applyNumberFormat="1">
      <alignment horizontal="center"/>
    </xf>
    <xf borderId="11" fillId="17" fontId="6" numFmtId="0" xfId="0" applyAlignment="1" applyBorder="1" applyFont="1">
      <alignment horizontal="center" vertical="bottom"/>
    </xf>
    <xf borderId="6" fillId="17" fontId="3" numFmtId="0" xfId="0" applyAlignment="1" applyBorder="1" applyFont="1">
      <alignment horizontal="center" vertical="bottom"/>
    </xf>
    <xf borderId="6" fillId="17" fontId="3" numFmtId="167" xfId="0" applyAlignment="1" applyBorder="1" applyFont="1" applyNumberFormat="1">
      <alignment horizontal="center" vertical="bottom"/>
    </xf>
    <xf borderId="8" fillId="17" fontId="3" numFmtId="3" xfId="0" applyAlignment="1" applyBorder="1" applyFont="1" applyNumberFormat="1">
      <alignment horizontal="center"/>
    </xf>
    <xf borderId="8" fillId="17" fontId="3" numFmtId="0" xfId="0" applyAlignment="1" applyBorder="1" applyFont="1">
      <alignment horizontal="center"/>
    </xf>
    <xf borderId="11" fillId="8" fontId="6" numFmtId="0" xfId="0" applyAlignment="1" applyBorder="1" applyFont="1">
      <alignment horizontal="center" vertical="bottom"/>
    </xf>
    <xf borderId="6" fillId="18" fontId="3" numFmtId="0" xfId="0" applyAlignment="1" applyBorder="1" applyFont="1">
      <alignment horizontal="center" vertical="bottom"/>
    </xf>
    <xf borderId="8" fillId="18" fontId="3" numFmtId="3" xfId="0" applyAlignment="1" applyBorder="1" applyFont="1" applyNumberFormat="1">
      <alignment horizontal="center"/>
    </xf>
    <xf borderId="11" fillId="6" fontId="6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vertical="bottom"/>
    </xf>
    <xf borderId="6" fillId="6" fontId="3" numFmtId="167" xfId="0" applyAlignment="1" applyBorder="1" applyFont="1" applyNumberFormat="1">
      <alignment horizontal="center" vertical="bottom"/>
    </xf>
    <xf borderId="8" fillId="6" fontId="3" numFmtId="3" xfId="0" applyAlignment="1" applyBorder="1" applyFont="1" applyNumberFormat="1">
      <alignment horizontal="center"/>
    </xf>
    <xf borderId="8" fillId="6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vertical="bottom"/>
    </xf>
    <xf borderId="6" fillId="16" fontId="3" numFmtId="0" xfId="0" applyAlignment="1" applyBorder="1" applyFont="1">
      <alignment horizontal="center" vertical="bottom"/>
    </xf>
    <xf borderId="8" fillId="16" fontId="3" numFmtId="3" xfId="0" applyAlignment="1" applyBorder="1" applyFont="1" applyNumberFormat="1">
      <alignment horizontal="center"/>
    </xf>
    <xf borderId="8" fillId="0" fontId="6" numFmtId="0" xfId="0" applyBorder="1" applyFont="1"/>
    <xf borderId="8" fillId="0" fontId="3" numFmtId="3" xfId="0" applyBorder="1" applyFont="1" applyNumberFormat="1"/>
    <xf borderId="0" fillId="0" fontId="3" numFmtId="3" xfId="0" applyFont="1" applyNumberFormat="1"/>
    <xf borderId="7" fillId="8" fontId="3" numFmtId="0" xfId="0" applyBorder="1" applyFont="1"/>
    <xf borderId="8" fillId="0" fontId="3" numFmtId="166" xfId="0" applyBorder="1" applyFont="1" applyNumberFormat="1"/>
    <xf borderId="9" fillId="0" fontId="3" numFmtId="0" xfId="0" applyBorder="1" applyFont="1"/>
    <xf borderId="20" fillId="0" fontId="3" numFmtId="49" xfId="0" applyBorder="1" applyFont="1" applyNumberFormat="1"/>
    <xf borderId="11" fillId="0" fontId="3" numFmtId="0" xfId="0" applyBorder="1" applyFont="1"/>
    <xf borderId="0" fillId="0" fontId="3" numFmtId="49" xfId="0" applyFont="1" applyNumberFormat="1"/>
    <xf borderId="8" fillId="0" fontId="3" numFmtId="0" xfId="0" applyBorder="1" applyFont="1"/>
    <xf borderId="8" fillId="0" fontId="3" numFmtId="1" xfId="0" applyBorder="1" applyFont="1" applyNumberFormat="1"/>
    <xf borderId="8" fillId="4" fontId="6" numFmtId="0" xfId="0" applyBorder="1" applyFont="1"/>
    <xf borderId="8" fillId="0" fontId="3" numFmtId="10" xfId="0" applyBorder="1" applyFont="1" applyNumberFormat="1"/>
    <xf borderId="8" fillId="6" fontId="3" numFmtId="0" xfId="0" applyBorder="1" applyFont="1"/>
    <xf borderId="9" fillId="0" fontId="6" numFmtId="0" xfId="0" applyAlignment="1" applyBorder="1" applyFont="1">
      <alignment horizontal="center"/>
    </xf>
    <xf borderId="8" fillId="4" fontId="3" numFmtId="0" xfId="0" applyBorder="1" applyFont="1"/>
    <xf borderId="8" fillId="19" fontId="3" numFmtId="0" xfId="0" applyBorder="1" applyFill="1" applyFont="1"/>
    <xf borderId="8" fillId="17" fontId="3" numFmtId="0" xfId="0" applyBorder="1" applyFont="1"/>
    <xf borderId="8" fillId="20" fontId="3" numFmtId="0" xfId="0" applyBorder="1" applyFill="1" applyFont="1"/>
    <xf borderId="8" fillId="21" fontId="3" numFmtId="0" xfId="0" applyBorder="1" applyFill="1" applyFont="1"/>
    <xf borderId="8" fillId="22" fontId="3" numFmtId="0" xfId="0" applyBorder="1" applyFill="1" applyFont="1"/>
    <xf borderId="8" fillId="0" fontId="12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horizontal="left" shrinkToFit="0" vertical="top" wrapText="1"/>
    </xf>
    <xf borderId="8" fillId="0" fontId="12" numFmtId="0" xfId="0" applyAlignment="1" applyBorder="1" applyFont="1">
      <alignment shrinkToFit="0" wrapText="1"/>
    </xf>
    <xf borderId="8" fillId="4" fontId="3" numFmtId="0" xfId="0" applyAlignment="1" applyBorder="1" applyFont="1">
      <alignment horizontal="left" shrinkToFit="0" vertical="top" wrapText="1"/>
    </xf>
    <xf borderId="8" fillId="4" fontId="12" numFmtId="0" xfId="0" applyAlignment="1" applyBorder="1" applyFont="1">
      <alignment horizontal="left" shrinkToFit="0" wrapText="1"/>
    </xf>
    <xf borderId="8" fillId="11" fontId="3" numFmtId="0" xfId="0" applyAlignment="1" applyBorder="1" applyFont="1">
      <alignment horizontal="left" shrinkToFit="0" vertical="top" wrapText="1"/>
    </xf>
    <xf borderId="8" fillId="6" fontId="3" numFmtId="0" xfId="0" applyAlignment="1" applyBorder="1" applyFont="1">
      <alignment horizontal="left" shrinkToFit="0" vertical="top" wrapText="1"/>
    </xf>
    <xf borderId="8" fillId="6" fontId="12" numFmtId="0" xfId="0" applyAlignment="1" applyBorder="1" applyFont="1">
      <alignment horizontal="left" shrinkToFit="0" wrapText="1"/>
    </xf>
    <xf borderId="8" fillId="20" fontId="3" numFmtId="0" xfId="0" applyAlignment="1" applyBorder="1" applyFont="1">
      <alignment horizontal="left" shrinkToFit="0" vertical="top" wrapText="1"/>
    </xf>
    <xf borderId="8" fillId="11" fontId="12" numFmtId="0" xfId="0" applyAlignment="1" applyBorder="1" applyFont="1">
      <alignment horizontal="left" shrinkToFit="0" wrapText="1"/>
    </xf>
    <xf borderId="8" fillId="5" fontId="3" numFmtId="49" xfId="0" applyBorder="1" applyFont="1" applyNumberFormat="1"/>
    <xf borderId="8" fillId="5" fontId="6" numFmtId="49" xfId="0" applyBorder="1" applyFont="1" applyNumberFormat="1"/>
    <xf borderId="8" fillId="4" fontId="3" numFmtId="49" xfId="0" applyBorder="1" applyFont="1" applyNumberFormat="1"/>
    <xf borderId="0" fillId="4" fontId="6" numFmtId="49" xfId="0" applyFont="1" applyNumberFormat="1"/>
    <xf borderId="0" fillId="0" fontId="6" numFmtId="0" xfId="0" applyFont="1"/>
    <xf borderId="8" fillId="0" fontId="3" numFmtId="49" xfId="0" applyBorder="1" applyFont="1" applyNumberFormat="1"/>
    <xf borderId="0" fillId="13" fontId="6" numFmtId="49" xfId="0" applyFont="1" applyNumberFormat="1"/>
    <xf borderId="8" fillId="23" fontId="3" numFmtId="10" xfId="0" applyBorder="1" applyFill="1" applyFont="1" applyNumberFormat="1"/>
    <xf borderId="8" fillId="23" fontId="3" numFmtId="0" xfId="0" applyBorder="1" applyFont="1"/>
    <xf borderId="8" fillId="18" fontId="3" numFmtId="10" xfId="0" applyBorder="1" applyFont="1" applyNumberFormat="1"/>
    <xf borderId="8" fillId="18" fontId="3" numFmtId="0" xfId="0" applyBorder="1" applyFont="1"/>
    <xf borderId="8" fillId="24" fontId="3" numFmtId="10" xfId="0" applyBorder="1" applyFill="1" applyFont="1" applyNumberFormat="1"/>
    <xf borderId="8" fillId="24" fontId="3" numFmtId="0" xfId="0" applyBorder="1" applyFont="1"/>
    <xf borderId="8" fillId="18" fontId="3" numFmtId="49" xfId="0" applyBorder="1" applyFont="1" applyNumberFormat="1"/>
    <xf borderId="0" fillId="18" fontId="6" numFmtId="49" xfId="0" applyFont="1" applyNumberFormat="1"/>
    <xf borderId="8" fillId="19" fontId="3" numFmtId="10" xfId="0" applyBorder="1" applyFont="1" applyNumberFormat="1"/>
    <xf borderId="8" fillId="22" fontId="3" numFmtId="49" xfId="0" applyBorder="1" applyFont="1" applyNumberFormat="1"/>
    <xf borderId="0" fillId="22" fontId="6" numFmtId="49" xfId="0" applyFont="1" applyNumberFormat="1"/>
    <xf borderId="8" fillId="16" fontId="3" numFmtId="49" xfId="0" applyBorder="1" applyFont="1" applyNumberFormat="1"/>
    <xf borderId="8" fillId="16" fontId="6" numFmtId="49" xfId="0" applyBorder="1" applyFont="1" applyNumberFormat="1"/>
    <xf borderId="8" fillId="21" fontId="3" numFmtId="49" xfId="0" applyBorder="1" applyFont="1" applyNumberFormat="1"/>
    <xf borderId="8" fillId="25" fontId="3" numFmtId="0" xfId="0" applyBorder="1" applyFill="1" applyFont="1"/>
    <xf borderId="8" fillId="18" fontId="6" numFmtId="49" xfId="0" applyBorder="1" applyFont="1" applyNumberFormat="1"/>
    <xf borderId="0" fillId="22" fontId="3" numFmtId="49" xfId="0" applyFont="1" applyNumberFormat="1"/>
    <xf borderId="9" fillId="25" fontId="3" numFmtId="0" xfId="0" applyBorder="1" applyFont="1"/>
    <xf borderId="8" fillId="16" fontId="3" numFmtId="0" xfId="0" applyBorder="1" applyFont="1"/>
    <xf borderId="5" fillId="0" fontId="3" numFmtId="0" xfId="0" applyBorder="1" applyFont="1"/>
    <xf borderId="12" fillId="0" fontId="3" numFmtId="0" xfId="0" applyBorder="1" applyFont="1"/>
    <xf borderId="0" fillId="26" fontId="6" numFmtId="0" xfId="0" applyAlignment="1" applyFill="1" applyFont="1">
      <alignment horizontal="center"/>
    </xf>
    <xf borderId="6" fillId="25" fontId="3" numFmtId="0" xfId="0" applyBorder="1" applyFont="1"/>
    <xf borderId="7" fillId="25" fontId="3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Roboto"/>
              </a:defRPr>
            </a:pPr>
            <a:r>
              <a:rPr b="1" i="0">
                <a:solidFill>
                  <a:srgbClr val="757575"/>
                </a:solidFill>
                <a:latin typeface="Roboto"/>
              </a:rPr>
              <a:t> PRODUCCIÓN DE QUINTALES DE MAÍZ POR MANZANA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'PARTE II'!$L$1:$L$2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7BC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53D2E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FD45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II'!$K$3:$K$9</c:f>
            </c:strRef>
          </c:cat>
          <c:val>
            <c:numRef>
              <c:f>'PARTE II'!$L$3:$L$9</c:f>
              <c:numCache/>
            </c:numRef>
          </c:val>
        </c:ser>
        <c:axId val="1419378063"/>
        <c:axId val="1431882705"/>
      </c:barChart>
      <c:catAx>
        <c:axId val="14193780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1882705"/>
      </c:catAx>
      <c:valAx>
        <c:axId val="1431882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PRODUC. X MANZ.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937806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COMPARACIÓN DE LA DISMINUCIÓN DEL USO DE PLAGUICIDAS AL USAR BIOFERTILIZANTES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0000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'PARTE II'!$L$35:$M$35</c:f>
            </c:strRef>
          </c:cat>
          <c:val>
            <c:numRef>
              <c:f>'PARTE II'!$L$36:$M$36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DISMINUCIÓN DEL USO DE PLAGUICIDAS POR TIPO DE CULTIVO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'PARTE II'!$K$20:$K$22</c:f>
            </c:strRef>
          </c:cat>
          <c:val>
            <c:numRef>
              <c:f>'PARTE II'!$L$20:$L$22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LOS CULTIVOS ENTRE LOS ENCUESTADOS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'PARTE II'!$J$38</c:f>
            </c:strRef>
          </c:tx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C0F7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'PARTE II'!$K$39:$K$41</c:f>
            </c:strRef>
          </c:cat>
          <c:val>
            <c:numRef>
              <c:f>'PARTE II'!$J$39:$J$41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PROMEDIO DE APLICACIÓN DE PLAGUICIDAS POR TIPO DE BIOFERTILIZANTE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'PARTE II'!$Q$21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00"/>
              </a:solidFill>
              <a:ln cmpd="sng">
                <a:solidFill>
                  <a:srgbClr val="00FF00"/>
                </a:solidFill>
              </a:ln>
            </c:spPr>
          </c:marker>
          <c:xVal>
            <c:numRef>
              <c:f>'PARTE II'!$P$22:$P$28</c:f>
            </c:numRef>
          </c:xVal>
          <c:yVal>
            <c:numRef>
              <c:f>'PARTE II'!$Q$22:$Q$28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46624"/>
        <c:axId val="1511268434"/>
      </c:scatterChart>
      <c:valAx>
        <c:axId val="18507466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TIPO DE BIOFERTILIZANTE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1268434"/>
      </c:valAx>
      <c:valAx>
        <c:axId val="1511268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PROMEDIO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507466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sans-serif"/>
              </a:defRPr>
            </a:pPr>
            <a:r>
              <a:rPr b="1" i="0" sz="1800">
                <a:solidFill>
                  <a:srgbClr val="757575"/>
                </a:solidFill>
                <a:latin typeface="sans-serif"/>
              </a:rPr>
              <a:t>NIVEL DE RENDIMIENTO DEL BIOFERTILIZANTE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'PARTE III'!$K$36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'PARTE III'!$J$37:$J$43</c:f>
            </c:strRef>
          </c:cat>
          <c:val>
            <c:numRef>
              <c:f>'PARTE III'!$K$37:$K$43</c:f>
              <c:numCache/>
            </c:numRef>
          </c:val>
        </c:ser>
        <c:ser>
          <c:idx val="1"/>
          <c:order val="1"/>
          <c:tx>
            <c:strRef>
              <c:f>'PARTE III'!$L$36</c:f>
            </c:strRef>
          </c:tx>
          <c:spPr>
            <a:solidFill>
              <a:srgbClr val="56C3D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III'!$J$37:$J$43</c:f>
            </c:strRef>
          </c:cat>
          <c:val>
            <c:numRef>
              <c:f>'PARTE III'!$L$37:$L$43</c:f>
              <c:numCache/>
            </c:numRef>
          </c:val>
        </c:ser>
        <c:ser>
          <c:idx val="2"/>
          <c:order val="2"/>
          <c:tx>
            <c:strRef>
              <c:f>'PARTE III'!$M$36</c:f>
            </c:strRef>
          </c:tx>
          <c:spPr>
            <a:solidFill>
              <a:srgbClr val="FFD45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III'!$J$37:$J$43</c:f>
            </c:strRef>
          </c:cat>
          <c:val>
            <c:numRef>
              <c:f>'PARTE III'!$M$37:$M$43</c:f>
              <c:numCache/>
            </c:numRef>
          </c:val>
        </c:ser>
        <c:ser>
          <c:idx val="3"/>
          <c:order val="3"/>
          <c:tx>
            <c:strRef>
              <c:f>'PARTE III'!$N$36</c:f>
            </c:strRef>
          </c:tx>
          <c:spPr>
            <a:solidFill>
              <a:srgbClr val="57BB8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III'!$J$37:$J$43</c:f>
            </c:strRef>
          </c:cat>
          <c:val>
            <c:numRef>
              <c:f>'PARTE III'!$N$37:$N$43</c:f>
              <c:numCache/>
            </c:numRef>
          </c:val>
        </c:ser>
        <c:overlap val="100"/>
        <c:axId val="2011475391"/>
        <c:axId val="264537776"/>
      </c:barChart>
      <c:catAx>
        <c:axId val="201147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TIPO DE BIOFERTILIZANTE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64537776"/>
      </c:catAx>
      <c:valAx>
        <c:axId val="264537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201147539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NIVEL DE DESAROLLO Y SATISFACCIÓN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'PARTE III'!$M$26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59CFF"/>
              </a:solidFill>
              <a:ln cmpd="sng">
                <a:solidFill>
                  <a:srgbClr val="B59CFF"/>
                </a:solidFill>
              </a:ln>
            </c:spPr>
          </c:marker>
          <c:xVal>
            <c:numRef>
              <c:f>'PARTE III'!$N$25:$O$25</c:f>
            </c:numRef>
          </c:xVal>
          <c:yVal>
            <c:numRef>
              <c:f>'PARTE III'!$N$26:$O$26</c:f>
              <c:numCache/>
            </c:numRef>
          </c:yVal>
        </c:ser>
        <c:ser>
          <c:idx val="1"/>
          <c:order val="1"/>
          <c:tx>
            <c:strRef>
              <c:f>'PARTE III'!$M$27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3D2E4"/>
              </a:solidFill>
              <a:ln cmpd="sng">
                <a:solidFill>
                  <a:srgbClr val="53D2E4"/>
                </a:solidFill>
              </a:ln>
            </c:spPr>
          </c:marker>
          <c:xVal>
            <c:numRef>
              <c:f>'PARTE III'!$N$25:$O$25</c:f>
            </c:numRef>
          </c:xVal>
          <c:yVal>
            <c:numRef>
              <c:f>'PARTE III'!$N$27:$O$27</c:f>
              <c:numCache/>
            </c:numRef>
          </c:yVal>
        </c:ser>
        <c:ser>
          <c:idx val="2"/>
          <c:order val="2"/>
          <c:tx>
            <c:strRef>
              <c:f>'PARTE III'!$M$28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'PARTE III'!$N$25:$O$25</c:f>
            </c:numRef>
          </c:xVal>
          <c:yVal>
            <c:numRef>
              <c:f>'PARTE III'!$N$28:$O$28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21150"/>
        <c:axId val="579144355"/>
      </c:scatterChart>
      <c:valAx>
        <c:axId val="10940211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NIVEL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9144355"/>
      </c:valAx>
      <c:valAx>
        <c:axId val="579144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402115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NIVEL DE DESAROLLO POR TIPO DE CULTIVO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'PARTE III'!$K$46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III'!$J$47:$J$49</c:f>
            </c:strRef>
          </c:cat>
          <c:val>
            <c:numRef>
              <c:f>'PARTE III'!$K$47:$K$49</c:f>
              <c:numCache/>
            </c:numRef>
          </c:val>
        </c:ser>
        <c:ser>
          <c:idx val="1"/>
          <c:order val="1"/>
          <c:tx>
            <c:strRef>
              <c:f>'PARTE III'!$L$46</c:f>
            </c:strRef>
          </c:tx>
          <c:spPr>
            <a:solidFill>
              <a:srgbClr val="FFD45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III'!$J$47:$J$49</c:f>
            </c:strRef>
          </c:cat>
          <c:val>
            <c:numRef>
              <c:f>'PARTE III'!$L$47:$L$49</c:f>
              <c:numCache/>
            </c:numRef>
          </c:val>
        </c:ser>
        <c:ser>
          <c:idx val="2"/>
          <c:order val="2"/>
          <c:tx>
            <c:strRef>
              <c:f>'PARTE III'!$M$46</c:f>
            </c:strRef>
          </c:tx>
          <c:spPr>
            <a:solidFill>
              <a:srgbClr val="41D89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III'!$J$47:$J$49</c:f>
            </c:strRef>
          </c:cat>
          <c:val>
            <c:numRef>
              <c:f>'PARTE III'!$M$47:$M$49</c:f>
              <c:numCache/>
            </c:numRef>
          </c:val>
        </c:ser>
        <c:axId val="81005611"/>
        <c:axId val="766907788"/>
      </c:barChart>
      <c:catAx>
        <c:axId val="81005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TIPO DE CULTIVO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6907788"/>
      </c:catAx>
      <c:valAx>
        <c:axId val="766907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0056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NIVEL DE SATISFACCIÓN POR TIPO DE CULTIVO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'PARTE III'!$K$52</c:f>
            </c:strRef>
          </c:tx>
          <c:spPr>
            <a:solidFill>
              <a:srgbClr val="53D2E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III'!$J$53:$J$55</c:f>
            </c:strRef>
          </c:cat>
          <c:val>
            <c:numRef>
              <c:f>'PARTE III'!$K$53:$K$55</c:f>
              <c:numCache/>
            </c:numRef>
          </c:val>
        </c:ser>
        <c:ser>
          <c:idx val="1"/>
          <c:order val="1"/>
          <c:tx>
            <c:strRef>
              <c:f>'PARTE III'!$L$52</c:f>
            </c:strRef>
          </c:tx>
          <c:spPr>
            <a:solidFill>
              <a:srgbClr val="B59CF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III'!$J$53:$J$55</c:f>
            </c:strRef>
          </c:cat>
          <c:val>
            <c:numRef>
              <c:f>'PARTE III'!$L$53:$L$55</c:f>
              <c:numCache/>
            </c:numRef>
          </c:val>
        </c:ser>
        <c:ser>
          <c:idx val="2"/>
          <c:order val="2"/>
          <c:tx>
            <c:strRef>
              <c:f>'PARTE III'!$M$52</c:f>
            </c:strRef>
          </c:tx>
          <c:spPr>
            <a:solidFill>
              <a:srgbClr val="FF87B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III'!$J$53:$J$55</c:f>
            </c:strRef>
          </c:cat>
          <c:val>
            <c:numRef>
              <c:f>'PARTE III'!$M$53:$M$55</c:f>
              <c:numCache/>
            </c:numRef>
          </c:val>
        </c:ser>
        <c:axId val="332446901"/>
        <c:axId val="2096059065"/>
      </c:barChart>
      <c:catAx>
        <c:axId val="332446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TIPO DE CULTIVO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96059065"/>
      </c:catAx>
      <c:valAx>
        <c:axId val="2096059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24469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POTENCIAL DEL BIOFERTILIZANTE POR TIPO DE CULTIVO 		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'PARTE III'!$K$57:$K$58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III'!$K$59:$K$61</c:f>
              <c:numCache/>
            </c:numRef>
          </c:val>
        </c:ser>
        <c:ser>
          <c:idx val="1"/>
          <c:order val="1"/>
          <c:tx>
            <c:strRef>
              <c:f>'PARTE III'!$L$57:$L$58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III'!$L$59:$L$61</c:f>
              <c:numCache/>
            </c:numRef>
          </c:val>
        </c:ser>
        <c:ser>
          <c:idx val="2"/>
          <c:order val="2"/>
          <c:tx>
            <c:strRef>
              <c:f>'PARTE III'!$M$57:$M$58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III'!$M$59:$M$61</c:f>
              <c:numCache/>
            </c:numRef>
          </c:val>
        </c:ser>
        <c:ser>
          <c:idx val="3"/>
          <c:order val="3"/>
          <c:tx>
            <c:strRef>
              <c:f>'PARTE III'!$N$57:$N$58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III'!$J$59:$J$61</c:f>
            </c:strRef>
          </c:cat>
          <c:val>
            <c:numRef>
              <c:f>'PARTE III'!$N$59:$N$61</c:f>
              <c:numCache/>
            </c:numRef>
          </c:val>
        </c:ser>
        <c:axId val="877707265"/>
        <c:axId val="313882418"/>
      </c:barChart>
      <c:catAx>
        <c:axId val="8777072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TIPO DE CULTIVO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3882418"/>
      </c:catAx>
      <c:valAx>
        <c:axId val="3138824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7707265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NIVEL DE SATISFACCIÓN POR BIOFERTILIZANTE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BAJO</c:v>
          </c:tx>
          <c:spPr>
            <a:solidFill>
              <a:srgbClr val="56C3D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III'!$J$63:$J$72</c:f>
            </c:strRef>
          </c:cat>
          <c:val>
            <c:numRef>
              <c:f>'PARTE III'!$K$63:$K$72</c:f>
              <c:numCache/>
            </c:numRef>
          </c:val>
        </c:ser>
        <c:ser>
          <c:idx val="1"/>
          <c:order val="1"/>
          <c:tx>
            <c:v>MEDIO</c:v>
          </c:tx>
          <c:spPr>
            <a:solidFill>
              <a:srgbClr val="F2F21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III'!$J$63:$J$72</c:f>
            </c:strRef>
          </c:cat>
          <c:val>
            <c:numRef>
              <c:f>'PARTE III'!$L$63:$L$72</c:f>
              <c:numCache/>
            </c:numRef>
          </c:val>
        </c:ser>
        <c:ser>
          <c:idx val="2"/>
          <c:order val="2"/>
          <c:tx>
            <c:v>ALTO</c:v>
          </c:tx>
          <c:spPr>
            <a:solidFill>
              <a:srgbClr val="C0F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III'!$J$63:$J$72</c:f>
            </c:strRef>
          </c:cat>
          <c:val>
            <c:numRef>
              <c:f>'PARTE III'!$M$63:$M$72</c:f>
              <c:numCache/>
            </c:numRef>
          </c:val>
        </c:ser>
        <c:overlap val="100"/>
        <c:axId val="864914851"/>
        <c:axId val="1308317345"/>
      </c:barChart>
      <c:catAx>
        <c:axId val="8649148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BIOFERTILIZANTE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8317345"/>
      </c:catAx>
      <c:valAx>
        <c:axId val="13083173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4914851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NIVEL DE DESAROLLO POR BIOFERTILIZANTE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BAJO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III'!$J$75:$J$82</c:f>
            </c:strRef>
          </c:cat>
          <c:val>
            <c:numRef>
              <c:f>'PARTE III'!$K$75:$K$82</c:f>
              <c:numCache/>
            </c:numRef>
          </c:val>
        </c:ser>
        <c:ser>
          <c:idx val="1"/>
          <c:order val="1"/>
          <c:tx>
            <c:v>MEDIO</c:v>
          </c:tx>
          <c:spPr>
            <a:solidFill>
              <a:srgbClr val="FFD45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III'!$J$75:$J$82</c:f>
            </c:strRef>
          </c:cat>
          <c:val>
            <c:numRef>
              <c:f>'PARTE III'!$L$75:$L$82</c:f>
              <c:numCache/>
            </c:numRef>
          </c:val>
        </c:ser>
        <c:ser>
          <c:idx val="2"/>
          <c:order val="2"/>
          <c:tx>
            <c:v>ALTO</c:v>
          </c:tx>
          <c:spPr>
            <a:solidFill>
              <a:srgbClr val="41D89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'PARTE III'!$J$75:$J$82</c:f>
            </c:strRef>
          </c:cat>
          <c:val>
            <c:numRef>
              <c:f>'PARTE III'!$M$75:$M$82</c:f>
              <c:numCache/>
            </c:numRef>
          </c:val>
        </c:ser>
        <c:overlap val="100"/>
        <c:axId val="1519243976"/>
        <c:axId val="1046547983"/>
      </c:barChart>
      <c:catAx>
        <c:axId val="15192439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BIOFERTILIZANTE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6547983"/>
      </c:catAx>
      <c:valAx>
        <c:axId val="10465479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ENCUESTADOS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924397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590550</xdr:colOff>
      <xdr:row>0</xdr:row>
      <xdr:rowOff>104775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295275</xdr:colOff>
      <xdr:row>29</xdr:row>
      <xdr:rowOff>95250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1343025</xdr:colOff>
      <xdr:row>48</xdr:row>
      <xdr:rowOff>28575</xdr:rowOff>
    </xdr:from>
    <xdr:ext cx="5314950" cy="3286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238125</xdr:colOff>
      <xdr:row>47</xdr:row>
      <xdr:rowOff>161925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619125</xdr:colOff>
      <xdr:row>32</xdr:row>
      <xdr:rowOff>19050</xdr:rowOff>
    </xdr:from>
    <xdr:ext cx="6038850" cy="37242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647700</xdr:colOff>
      <xdr:row>36</xdr:row>
      <xdr:rowOff>47625</xdr:rowOff>
    </xdr:from>
    <xdr:ext cx="6162675" cy="38100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495300</xdr:colOff>
      <xdr:row>20</xdr:row>
      <xdr:rowOff>9525</xdr:rowOff>
    </xdr:from>
    <xdr:ext cx="4791075" cy="29622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581025</xdr:colOff>
      <xdr:row>57</xdr:row>
      <xdr:rowOff>38100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66675</xdr:colOff>
      <xdr:row>80</xdr:row>
      <xdr:rowOff>114300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628650</xdr:colOff>
      <xdr:row>51</xdr:row>
      <xdr:rowOff>66675</xdr:rowOff>
    </xdr:from>
    <xdr:ext cx="6038850" cy="3733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628650</xdr:colOff>
      <xdr:row>71</xdr:row>
      <xdr:rowOff>95250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66675</xdr:colOff>
      <xdr:row>83</xdr:row>
      <xdr:rowOff>133350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7" displayName="Table1" name="Table1" id="1">
  <tableColumns count="25">
    <tableColumn name="Marca temporal" id="1"/>
    <tableColumn name="Nombre comercial del biofertilizante que utiliza" id="2"/>
    <tableColumn name="Tipo de cultivo en el que utiliza biofertilizantes" id="3"/>
    <tableColumn name="Número de manzanas que cultiva" id="4"/>
    <tableColumn name="Si conoce los principales compuestos del biofertilizante, escríbalos a continuación: " id="5"/>
    <tableColumn name="¿Cuál fue la producción en quintales que obtuvo en su última cosecha por cada manzana de cultivo?" id="6"/>
    <tableColumn name="¿Ha notado algún cambio en el nivel de desarrollo de sus plantas después de aplicar el biofertilizante? En caso afirmativo, ¿cómo describiría estos cambios?" id="7"/>
    <tableColumn name="¿Con qué frecuencia y en qué cantidad (por ciclo de cultivo) aplica plaguicidas en su cultivo por cada manzana cultivada? " id="8"/>
    <tableColumn name="¿Ha notado algún cambio en la cantidad de plaguicidas que utiliza después de aplicar el biofertilizante? En caso afirmativo, ¿podría describir estos cambios?" id="9"/>
    <tableColumn name="¿Ha notado una disminución o aumento en la presencia de plagas en su cultivo después de utilizar biofertilizantes?" id="10"/>
    <tableColumn name="¿Con qué frecuencia y en qué cantidad (por ciclo de cultivo)  aplica biofertilizantes  en su cultivo por cada manzana?" id="11"/>
    <tableColumn name=" [He notado cambios negativos en mi cultivo después de aplicar biofertilizantes]" id="12"/>
    <tableColumn name=" [He notado que mi cultivo se ve más saludable  desde que uso biofertilizantes]" id="13"/>
    <tableColumn name=" [He notado que mi cultivo resiste más las malas condiciones ambientales]" id="14"/>
    <tableColumn name=" [Mi cultivo se ve más vigoroso en comparación con agricultores de la zona que no utilizan biofertilizantes]" id="15"/>
    <tableColumn name=" [Mi cultivo es más vigoroso desde que utilizo biofertilizantes]" id="16"/>
    <tableColumn name=" [En general estoy muy satisfecho con los resultados obtenidos al utilizar biofertilizantes]" id="17"/>
    <tableColumn name=" [Estoy de satisfecho con la relación precio-calidad del biofertilizante]" id="18"/>
    <tableColumn name=" [Definitivamente recomendaría el uso de biofertilizantes a amigos o colegas]" id="19"/>
    <tableColumn name=" [Considero que el uso de biofertilizantes ha mejorado la calidad de mi cosecha con el tiempo]" id="20"/>
    <tableColumn name=" [He notado un cambio significativo en las ganancias, desde que comencé a utilizar biofertilizantes]" id="21"/>
    <tableColumn name=" [Tengo una buena producción en términos de rendimiento por manzana cultivada]" id="22"/>
    <tableColumn name=" [El biofertilizante cumple con mis necesidades]" id="23"/>
    <tableColumn name=" [Planeo seguir utilizando biofertilizantes en mis cultivos en el futuro]" id="24"/>
    <tableColumn name="Si tiene algun comentario o recomendación, puede escribirlo a continuación: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1" width="31.25"/>
  </cols>
  <sheetData>
    <row r="1" ht="9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</row>
    <row r="2" ht="80.25" customHeight="1">
      <c r="A2" s="3">
        <v>45062.7896665625</v>
      </c>
      <c r="B2" s="4" t="s">
        <v>25</v>
      </c>
      <c r="C2" s="4" t="s">
        <v>26</v>
      </c>
      <c r="D2" s="4">
        <v>1.0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35</v>
      </c>
      <c r="O2" s="4" t="s">
        <v>36</v>
      </c>
      <c r="P2" s="4" t="s">
        <v>37</v>
      </c>
      <c r="Q2" s="4" t="s">
        <v>35</v>
      </c>
      <c r="R2" s="4" t="s">
        <v>37</v>
      </c>
      <c r="S2" s="4" t="s">
        <v>35</v>
      </c>
      <c r="T2" s="4" t="s">
        <v>37</v>
      </c>
      <c r="U2" s="4" t="s">
        <v>36</v>
      </c>
      <c r="V2" s="4" t="s">
        <v>36</v>
      </c>
      <c r="W2" s="4" t="s">
        <v>35</v>
      </c>
      <c r="X2" s="4" t="s">
        <v>35</v>
      </c>
      <c r="Y2" s="4" t="s">
        <v>38</v>
      </c>
      <c r="Z2" s="5"/>
      <c r="AA2" s="5"/>
      <c r="AB2" s="5"/>
      <c r="AC2" s="5"/>
      <c r="AD2" s="5"/>
      <c r="AE2" s="5"/>
    </row>
    <row r="3" ht="52.5" customHeight="1">
      <c r="A3" s="6">
        <v>45063.44563253473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34</v>
      </c>
      <c r="M3" s="7" t="s">
        <v>36</v>
      </c>
      <c r="N3" s="7" t="s">
        <v>37</v>
      </c>
      <c r="O3" s="7" t="s">
        <v>35</v>
      </c>
      <c r="P3" s="7" t="s">
        <v>35</v>
      </c>
      <c r="Q3" s="7" t="s">
        <v>35</v>
      </c>
      <c r="R3" s="7" t="s">
        <v>37</v>
      </c>
      <c r="S3" s="7" t="s">
        <v>35</v>
      </c>
      <c r="T3" s="7" t="s">
        <v>36</v>
      </c>
      <c r="U3" s="7" t="s">
        <v>36</v>
      </c>
      <c r="V3" s="7" t="s">
        <v>35</v>
      </c>
      <c r="W3" s="7" t="s">
        <v>35</v>
      </c>
      <c r="X3" s="7" t="s">
        <v>35</v>
      </c>
      <c r="Y3" s="7" t="s">
        <v>49</v>
      </c>
      <c r="Z3" s="8"/>
      <c r="AA3" s="8"/>
      <c r="AB3" s="8"/>
      <c r="AC3" s="8"/>
      <c r="AD3" s="8"/>
      <c r="AE3" s="8"/>
    </row>
    <row r="4" ht="52.5" customHeight="1">
      <c r="A4" s="9">
        <v>45063.62929538194</v>
      </c>
      <c r="B4" s="10" t="s">
        <v>50</v>
      </c>
      <c r="C4" s="10" t="s">
        <v>40</v>
      </c>
      <c r="D4" s="10">
        <v>2.0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57</v>
      </c>
      <c r="L4" s="10" t="s">
        <v>34</v>
      </c>
      <c r="M4" s="10" t="s">
        <v>35</v>
      </c>
      <c r="N4" s="10" t="s">
        <v>36</v>
      </c>
      <c r="O4" s="10" t="s">
        <v>36</v>
      </c>
      <c r="P4" s="10" t="s">
        <v>35</v>
      </c>
      <c r="Q4" s="10" t="s">
        <v>35</v>
      </c>
      <c r="R4" s="10" t="s">
        <v>35</v>
      </c>
      <c r="S4" s="10" t="s">
        <v>35</v>
      </c>
      <c r="T4" s="10" t="s">
        <v>35</v>
      </c>
      <c r="U4" s="10" t="s">
        <v>37</v>
      </c>
      <c r="V4" s="10" t="s">
        <v>35</v>
      </c>
      <c r="W4" s="10" t="s">
        <v>36</v>
      </c>
      <c r="X4" s="10" t="s">
        <v>35</v>
      </c>
      <c r="Y4" s="10" t="s">
        <v>58</v>
      </c>
      <c r="Z4" s="11"/>
      <c r="AA4" s="11"/>
      <c r="AB4" s="11"/>
      <c r="AC4" s="11"/>
      <c r="AD4" s="11"/>
      <c r="AE4" s="11"/>
    </row>
    <row r="5" ht="52.5" customHeight="1">
      <c r="A5" s="9">
        <v>45063.63291060185</v>
      </c>
      <c r="B5" s="10" t="s">
        <v>59</v>
      </c>
      <c r="C5" s="10" t="s">
        <v>40</v>
      </c>
      <c r="D5" s="10">
        <v>5.0</v>
      </c>
      <c r="E5" s="10" t="s">
        <v>60</v>
      </c>
      <c r="F5" s="10" t="s">
        <v>61</v>
      </c>
      <c r="G5" s="10" t="s">
        <v>62</v>
      </c>
      <c r="H5" s="10" t="s">
        <v>63</v>
      </c>
      <c r="I5" s="10" t="s">
        <v>64</v>
      </c>
      <c r="J5" s="10" t="s">
        <v>65</v>
      </c>
      <c r="K5" s="10" t="s">
        <v>66</v>
      </c>
      <c r="L5" s="10" t="s">
        <v>34</v>
      </c>
      <c r="M5" s="10" t="s">
        <v>35</v>
      </c>
      <c r="N5" s="10" t="s">
        <v>36</v>
      </c>
      <c r="O5" s="10" t="s">
        <v>37</v>
      </c>
      <c r="P5" s="10" t="s">
        <v>35</v>
      </c>
      <c r="Q5" s="10" t="s">
        <v>35</v>
      </c>
      <c r="R5" s="10" t="s">
        <v>35</v>
      </c>
      <c r="S5" s="10" t="s">
        <v>36</v>
      </c>
      <c r="T5" s="10" t="s">
        <v>35</v>
      </c>
      <c r="U5" s="10" t="s">
        <v>36</v>
      </c>
      <c r="V5" s="10" t="s">
        <v>35</v>
      </c>
      <c r="W5" s="10" t="s">
        <v>36</v>
      </c>
      <c r="X5" s="10" t="s">
        <v>35</v>
      </c>
      <c r="Y5" s="10"/>
      <c r="Z5" s="11"/>
      <c r="AA5" s="11"/>
      <c r="AB5" s="11"/>
      <c r="AC5" s="11"/>
      <c r="AD5" s="11"/>
      <c r="AE5" s="11"/>
    </row>
    <row r="6" ht="52.5" customHeight="1">
      <c r="A6" s="9">
        <v>45063.63608497685</v>
      </c>
      <c r="B6" s="10" t="s">
        <v>67</v>
      </c>
      <c r="C6" s="10" t="s">
        <v>40</v>
      </c>
      <c r="D6" s="10" t="s">
        <v>68</v>
      </c>
      <c r="E6" s="10" t="s">
        <v>51</v>
      </c>
      <c r="F6" s="10" t="s">
        <v>69</v>
      </c>
      <c r="G6" s="10" t="s">
        <v>70</v>
      </c>
      <c r="H6" s="10" t="s">
        <v>71</v>
      </c>
      <c r="I6" s="10" t="s">
        <v>72</v>
      </c>
      <c r="J6" s="10" t="s">
        <v>73</v>
      </c>
      <c r="K6" s="10" t="s">
        <v>74</v>
      </c>
      <c r="L6" s="10" t="s">
        <v>34</v>
      </c>
      <c r="M6" s="10" t="s">
        <v>35</v>
      </c>
      <c r="N6" s="10" t="s">
        <v>35</v>
      </c>
      <c r="O6" s="10" t="s">
        <v>35</v>
      </c>
      <c r="P6" s="10" t="s">
        <v>35</v>
      </c>
      <c r="Q6" s="10" t="s">
        <v>35</v>
      </c>
      <c r="R6" s="10" t="s">
        <v>35</v>
      </c>
      <c r="S6" s="10" t="s">
        <v>35</v>
      </c>
      <c r="T6" s="10" t="s">
        <v>35</v>
      </c>
      <c r="U6" s="10" t="s">
        <v>35</v>
      </c>
      <c r="V6" s="10" t="s">
        <v>35</v>
      </c>
      <c r="W6" s="10" t="s">
        <v>35</v>
      </c>
      <c r="X6" s="10" t="s">
        <v>35</v>
      </c>
      <c r="Y6" s="10"/>
      <c r="Z6" s="11"/>
      <c r="AA6" s="11"/>
      <c r="AB6" s="11"/>
      <c r="AC6" s="11"/>
      <c r="AD6" s="11"/>
      <c r="AE6" s="11"/>
    </row>
    <row r="7" ht="52.5" customHeight="1">
      <c r="A7" s="9">
        <v>45063.64358809028</v>
      </c>
      <c r="B7" s="10" t="s">
        <v>59</v>
      </c>
      <c r="C7" s="10" t="s">
        <v>40</v>
      </c>
      <c r="D7" s="10">
        <v>8.0</v>
      </c>
      <c r="E7" s="10" t="s">
        <v>60</v>
      </c>
      <c r="F7" s="10">
        <v>80.0</v>
      </c>
      <c r="G7" s="10" t="s">
        <v>75</v>
      </c>
      <c r="H7" s="10" t="s">
        <v>76</v>
      </c>
      <c r="I7" s="10" t="s">
        <v>77</v>
      </c>
      <c r="J7" s="10" t="s">
        <v>78</v>
      </c>
      <c r="K7" s="10" t="s">
        <v>79</v>
      </c>
      <c r="L7" s="10" t="s">
        <v>34</v>
      </c>
      <c r="M7" s="10" t="s">
        <v>35</v>
      </c>
      <c r="N7" s="10" t="s">
        <v>36</v>
      </c>
      <c r="O7" s="10" t="s">
        <v>37</v>
      </c>
      <c r="P7" s="10" t="s">
        <v>35</v>
      </c>
      <c r="Q7" s="10" t="s">
        <v>35</v>
      </c>
      <c r="R7" s="10" t="s">
        <v>35</v>
      </c>
      <c r="S7" s="10" t="s">
        <v>35</v>
      </c>
      <c r="T7" s="10" t="s">
        <v>35</v>
      </c>
      <c r="U7" s="10" t="s">
        <v>37</v>
      </c>
      <c r="V7" s="10" t="s">
        <v>36</v>
      </c>
      <c r="W7" s="10" t="s">
        <v>37</v>
      </c>
      <c r="X7" s="10" t="s">
        <v>35</v>
      </c>
      <c r="Y7" s="10"/>
      <c r="Z7" s="11"/>
      <c r="AA7" s="11"/>
      <c r="AB7" s="11"/>
      <c r="AC7" s="11"/>
      <c r="AD7" s="11"/>
      <c r="AE7" s="11"/>
    </row>
    <row r="8" ht="52.5" customHeight="1">
      <c r="A8" s="9">
        <v>45063.65411405092</v>
      </c>
      <c r="B8" s="10" t="s">
        <v>67</v>
      </c>
      <c r="C8" s="10" t="s">
        <v>40</v>
      </c>
      <c r="D8" s="10">
        <v>1.0</v>
      </c>
      <c r="E8" s="10"/>
      <c r="F8" s="10" t="s">
        <v>80</v>
      </c>
      <c r="G8" s="10" t="s">
        <v>81</v>
      </c>
      <c r="H8" s="10" t="s">
        <v>82</v>
      </c>
      <c r="I8" s="10" t="s">
        <v>83</v>
      </c>
      <c r="J8" s="10" t="s">
        <v>84</v>
      </c>
      <c r="K8" s="10" t="s">
        <v>85</v>
      </c>
      <c r="L8" s="10" t="s">
        <v>34</v>
      </c>
      <c r="M8" s="10" t="s">
        <v>35</v>
      </c>
      <c r="N8" s="10" t="s">
        <v>37</v>
      </c>
      <c r="O8" s="10" t="s">
        <v>37</v>
      </c>
      <c r="P8" s="10" t="s">
        <v>35</v>
      </c>
      <c r="Q8" s="10" t="s">
        <v>35</v>
      </c>
      <c r="R8" s="10" t="s">
        <v>35</v>
      </c>
      <c r="S8" s="10" t="s">
        <v>35</v>
      </c>
      <c r="T8" s="10" t="s">
        <v>35</v>
      </c>
      <c r="U8" s="10" t="s">
        <v>37</v>
      </c>
      <c r="V8" s="10" t="s">
        <v>35</v>
      </c>
      <c r="W8" s="10" t="s">
        <v>35</v>
      </c>
      <c r="X8" s="10" t="s">
        <v>35</v>
      </c>
      <c r="Y8" s="10" t="s">
        <v>86</v>
      </c>
      <c r="Z8" s="11"/>
      <c r="AA8" s="11"/>
      <c r="AB8" s="11"/>
      <c r="AC8" s="11"/>
      <c r="AD8" s="11"/>
      <c r="AE8" s="11"/>
    </row>
    <row r="9" ht="52.5" customHeight="1">
      <c r="A9" s="9">
        <v>45063.65733090277</v>
      </c>
      <c r="B9" s="10" t="s">
        <v>67</v>
      </c>
      <c r="C9" s="10" t="s">
        <v>40</v>
      </c>
      <c r="D9" s="10">
        <v>6.0</v>
      </c>
      <c r="E9" s="10"/>
      <c r="F9" s="10" t="s">
        <v>87</v>
      </c>
      <c r="G9" s="10" t="s">
        <v>88</v>
      </c>
      <c r="H9" s="10" t="s">
        <v>89</v>
      </c>
      <c r="I9" s="10" t="s">
        <v>90</v>
      </c>
      <c r="J9" s="10" t="s">
        <v>91</v>
      </c>
      <c r="K9" s="10" t="s">
        <v>92</v>
      </c>
      <c r="L9" s="10" t="s">
        <v>34</v>
      </c>
      <c r="M9" s="10" t="s">
        <v>35</v>
      </c>
      <c r="N9" s="10" t="s">
        <v>36</v>
      </c>
      <c r="O9" s="10" t="s">
        <v>37</v>
      </c>
      <c r="P9" s="10" t="s">
        <v>36</v>
      </c>
      <c r="Q9" s="10" t="s">
        <v>35</v>
      </c>
      <c r="R9" s="10" t="s">
        <v>35</v>
      </c>
      <c r="S9" s="10" t="s">
        <v>36</v>
      </c>
      <c r="T9" s="10" t="s">
        <v>35</v>
      </c>
      <c r="U9" s="10" t="s">
        <v>36</v>
      </c>
      <c r="V9" s="10" t="s">
        <v>35</v>
      </c>
      <c r="W9" s="10" t="s">
        <v>37</v>
      </c>
      <c r="X9" s="10" t="s">
        <v>35</v>
      </c>
      <c r="Y9" s="10"/>
      <c r="Z9" s="11"/>
      <c r="AA9" s="11"/>
      <c r="AB9" s="11"/>
      <c r="AC9" s="11"/>
      <c r="AD9" s="11"/>
      <c r="AE9" s="11"/>
    </row>
    <row r="10" ht="52.5" customHeight="1">
      <c r="A10" s="9">
        <v>45063.66104958333</v>
      </c>
      <c r="B10" s="10" t="s">
        <v>67</v>
      </c>
      <c r="C10" s="10" t="s">
        <v>40</v>
      </c>
      <c r="D10" s="12" t="s">
        <v>93</v>
      </c>
      <c r="E10" s="10"/>
      <c r="F10" s="10" t="s">
        <v>94</v>
      </c>
      <c r="G10" s="10" t="s">
        <v>95</v>
      </c>
      <c r="H10" s="10" t="s">
        <v>96</v>
      </c>
      <c r="I10" s="10" t="s">
        <v>97</v>
      </c>
      <c r="J10" s="10" t="s">
        <v>73</v>
      </c>
      <c r="K10" s="10" t="s">
        <v>98</v>
      </c>
      <c r="L10" s="10" t="s">
        <v>34</v>
      </c>
      <c r="M10" s="10" t="s">
        <v>35</v>
      </c>
      <c r="N10" s="10" t="s">
        <v>36</v>
      </c>
      <c r="O10" s="10" t="s">
        <v>36</v>
      </c>
      <c r="P10" s="10" t="s">
        <v>35</v>
      </c>
      <c r="Q10" s="10" t="s">
        <v>35</v>
      </c>
      <c r="R10" s="10" t="s">
        <v>35</v>
      </c>
      <c r="S10" s="10" t="s">
        <v>35</v>
      </c>
      <c r="T10" s="10" t="s">
        <v>35</v>
      </c>
      <c r="U10" s="10" t="s">
        <v>37</v>
      </c>
      <c r="V10" s="10" t="s">
        <v>36</v>
      </c>
      <c r="W10" s="10" t="s">
        <v>35</v>
      </c>
      <c r="X10" s="10" t="s">
        <v>35</v>
      </c>
      <c r="Y10" s="10"/>
      <c r="Z10" s="11"/>
      <c r="AA10" s="11"/>
      <c r="AB10" s="11"/>
      <c r="AC10" s="11"/>
      <c r="AD10" s="11"/>
      <c r="AE10" s="11"/>
    </row>
    <row r="11" ht="52.5" customHeight="1">
      <c r="A11" s="13">
        <v>45063.78197243056</v>
      </c>
      <c r="B11" s="14" t="s">
        <v>99</v>
      </c>
      <c r="C11" s="14" t="s">
        <v>40</v>
      </c>
      <c r="D11" s="14">
        <v>25.0</v>
      </c>
      <c r="E11" s="14" t="s">
        <v>100</v>
      </c>
      <c r="F11" s="14">
        <v>80.0</v>
      </c>
      <c r="G11" s="14" t="s">
        <v>101</v>
      </c>
      <c r="H11" s="14" t="s">
        <v>102</v>
      </c>
      <c r="I11" s="14" t="s">
        <v>101</v>
      </c>
      <c r="J11" s="14" t="s">
        <v>101</v>
      </c>
      <c r="K11" s="14" t="s">
        <v>103</v>
      </c>
      <c r="L11" s="14" t="s">
        <v>34</v>
      </c>
      <c r="M11" s="14" t="s">
        <v>37</v>
      </c>
      <c r="N11" s="14" t="s">
        <v>36</v>
      </c>
      <c r="O11" s="14" t="s">
        <v>36</v>
      </c>
      <c r="P11" s="14" t="s">
        <v>36</v>
      </c>
      <c r="Q11" s="14" t="s">
        <v>36</v>
      </c>
      <c r="R11" s="14" t="s">
        <v>104</v>
      </c>
      <c r="S11" s="14" t="s">
        <v>36</v>
      </c>
      <c r="T11" s="14" t="s">
        <v>36</v>
      </c>
      <c r="U11" s="14" t="s">
        <v>36</v>
      </c>
      <c r="V11" s="14" t="s">
        <v>36</v>
      </c>
      <c r="W11" s="14" t="s">
        <v>36</v>
      </c>
      <c r="X11" s="14" t="s">
        <v>36</v>
      </c>
      <c r="Y11" s="14"/>
      <c r="Z11" s="15"/>
      <c r="AA11" s="15"/>
      <c r="AB11" s="15"/>
      <c r="AC11" s="15"/>
      <c r="AD11" s="15"/>
      <c r="AE11" s="15"/>
    </row>
    <row r="12" ht="52.5" customHeight="1">
      <c r="A12" s="13">
        <v>45068.90312120371</v>
      </c>
      <c r="B12" s="14" t="s">
        <v>105</v>
      </c>
      <c r="C12" s="14" t="s">
        <v>106</v>
      </c>
      <c r="D12" s="14" t="s">
        <v>107</v>
      </c>
      <c r="E12" s="14" t="s">
        <v>108</v>
      </c>
      <c r="F12" s="14" t="s">
        <v>109</v>
      </c>
      <c r="G12" s="14" t="s">
        <v>110</v>
      </c>
      <c r="H12" s="14" t="s">
        <v>111</v>
      </c>
      <c r="I12" s="14" t="s">
        <v>112</v>
      </c>
      <c r="J12" s="14" t="s">
        <v>113</v>
      </c>
      <c r="K12" s="14" t="s">
        <v>114</v>
      </c>
      <c r="L12" s="14" t="s">
        <v>34</v>
      </c>
      <c r="M12" s="14" t="s">
        <v>36</v>
      </c>
      <c r="N12" s="14" t="s">
        <v>36</v>
      </c>
      <c r="O12" s="14" t="s">
        <v>35</v>
      </c>
      <c r="P12" s="14" t="s">
        <v>35</v>
      </c>
      <c r="Q12" s="14" t="s">
        <v>35</v>
      </c>
      <c r="R12" s="14" t="s">
        <v>37</v>
      </c>
      <c r="S12" s="14" t="s">
        <v>35</v>
      </c>
      <c r="T12" s="14" t="s">
        <v>36</v>
      </c>
      <c r="U12" s="14" t="s">
        <v>37</v>
      </c>
      <c r="V12" s="14" t="s">
        <v>35</v>
      </c>
      <c r="W12" s="14" t="s">
        <v>35</v>
      </c>
      <c r="X12" s="14" t="s">
        <v>35</v>
      </c>
      <c r="Y12" s="14"/>
      <c r="Z12" s="15"/>
      <c r="AA12" s="15"/>
      <c r="AB12" s="15"/>
      <c r="AC12" s="15"/>
      <c r="AD12" s="15"/>
      <c r="AE12" s="15"/>
    </row>
    <row r="13" ht="52.5" customHeight="1">
      <c r="A13" s="16">
        <v>45068.907013495365</v>
      </c>
      <c r="B13" s="17" t="s">
        <v>115</v>
      </c>
      <c r="C13" s="17" t="s">
        <v>40</v>
      </c>
      <c r="D13" s="17" t="s">
        <v>116</v>
      </c>
      <c r="E13" s="17"/>
      <c r="F13" s="17">
        <v>90.0</v>
      </c>
      <c r="G13" s="17" t="s">
        <v>117</v>
      </c>
      <c r="H13" s="17" t="s">
        <v>118</v>
      </c>
      <c r="I13" s="17" t="s">
        <v>119</v>
      </c>
      <c r="J13" s="17" t="s">
        <v>120</v>
      </c>
      <c r="K13" s="17" t="s">
        <v>121</v>
      </c>
      <c r="L13" s="17" t="s">
        <v>34</v>
      </c>
      <c r="M13" s="17" t="s">
        <v>35</v>
      </c>
      <c r="N13" s="17" t="s">
        <v>36</v>
      </c>
      <c r="O13" s="17" t="s">
        <v>36</v>
      </c>
      <c r="P13" s="17" t="s">
        <v>36</v>
      </c>
      <c r="Q13" s="17" t="s">
        <v>35</v>
      </c>
      <c r="R13" s="17" t="s">
        <v>104</v>
      </c>
      <c r="S13" s="17" t="s">
        <v>35</v>
      </c>
      <c r="T13" s="17" t="s">
        <v>36</v>
      </c>
      <c r="U13" s="17" t="s">
        <v>37</v>
      </c>
      <c r="V13" s="17" t="s">
        <v>36</v>
      </c>
      <c r="W13" s="17" t="s">
        <v>35</v>
      </c>
      <c r="X13" s="17" t="s">
        <v>36</v>
      </c>
      <c r="Y13" s="17"/>
      <c r="Z13" s="18"/>
      <c r="AA13" s="18"/>
      <c r="AB13" s="18"/>
      <c r="AC13" s="18"/>
      <c r="AD13" s="18"/>
      <c r="AE13" s="18"/>
    </row>
    <row r="14" ht="52.5" customHeight="1">
      <c r="A14" s="13">
        <v>45068.91000650463</v>
      </c>
      <c r="B14" s="14" t="s">
        <v>122</v>
      </c>
      <c r="C14" s="14" t="s">
        <v>40</v>
      </c>
      <c r="D14" s="14" t="s">
        <v>123</v>
      </c>
      <c r="E14" s="14"/>
      <c r="F14" s="14">
        <v>65.0</v>
      </c>
      <c r="G14" s="14" t="s">
        <v>124</v>
      </c>
      <c r="H14" s="14" t="s">
        <v>125</v>
      </c>
      <c r="I14" s="14" t="s">
        <v>126</v>
      </c>
      <c r="J14" s="14" t="s">
        <v>112</v>
      </c>
      <c r="K14" s="14" t="s">
        <v>127</v>
      </c>
      <c r="L14" s="14" t="s">
        <v>104</v>
      </c>
      <c r="M14" s="14" t="s">
        <v>35</v>
      </c>
      <c r="N14" s="14" t="s">
        <v>35</v>
      </c>
      <c r="O14" s="14" t="s">
        <v>104</v>
      </c>
      <c r="P14" s="14" t="s">
        <v>35</v>
      </c>
      <c r="Q14" s="14" t="s">
        <v>35</v>
      </c>
      <c r="R14" s="14" t="s">
        <v>35</v>
      </c>
      <c r="S14" s="14" t="s">
        <v>35</v>
      </c>
      <c r="T14" s="14" t="s">
        <v>36</v>
      </c>
      <c r="U14" s="14" t="s">
        <v>37</v>
      </c>
      <c r="V14" s="14" t="s">
        <v>37</v>
      </c>
      <c r="W14" s="14" t="s">
        <v>36</v>
      </c>
      <c r="X14" s="14" t="s">
        <v>35</v>
      </c>
      <c r="Y14" s="14" t="s">
        <v>128</v>
      </c>
      <c r="Z14" s="15"/>
      <c r="AA14" s="15"/>
      <c r="AB14" s="15"/>
      <c r="AC14" s="15"/>
      <c r="AD14" s="15"/>
      <c r="AE14" s="15"/>
    </row>
    <row r="15" ht="52.5" customHeight="1">
      <c r="A15" s="13">
        <v>45068.91354130787</v>
      </c>
      <c r="B15" s="14" t="s">
        <v>129</v>
      </c>
      <c r="C15" s="14" t="s">
        <v>106</v>
      </c>
      <c r="D15" s="14" t="s">
        <v>116</v>
      </c>
      <c r="E15" s="14" t="s">
        <v>130</v>
      </c>
      <c r="F15" s="14">
        <v>75.0</v>
      </c>
      <c r="G15" s="14" t="s">
        <v>131</v>
      </c>
      <c r="H15" s="14" t="s">
        <v>132</v>
      </c>
      <c r="I15" s="14" t="s">
        <v>133</v>
      </c>
      <c r="J15" s="14" t="s">
        <v>134</v>
      </c>
      <c r="K15" s="14" t="s">
        <v>135</v>
      </c>
      <c r="L15" s="14" t="s">
        <v>104</v>
      </c>
      <c r="M15" s="14" t="s">
        <v>35</v>
      </c>
      <c r="N15" s="14" t="s">
        <v>36</v>
      </c>
      <c r="O15" s="14" t="s">
        <v>35</v>
      </c>
      <c r="P15" s="14" t="s">
        <v>35</v>
      </c>
      <c r="Q15" s="14" t="s">
        <v>36</v>
      </c>
      <c r="R15" s="14" t="s">
        <v>35</v>
      </c>
      <c r="S15" s="14" t="s">
        <v>35</v>
      </c>
      <c r="T15" s="14" t="s">
        <v>36</v>
      </c>
      <c r="U15" s="14" t="s">
        <v>104</v>
      </c>
      <c r="V15" s="14" t="s">
        <v>36</v>
      </c>
      <c r="W15" s="14" t="s">
        <v>36</v>
      </c>
      <c r="X15" s="14" t="s">
        <v>36</v>
      </c>
      <c r="Y15" s="14" t="s">
        <v>136</v>
      </c>
      <c r="Z15" s="15"/>
      <c r="AA15" s="15"/>
      <c r="AB15" s="15"/>
      <c r="AC15" s="15"/>
      <c r="AD15" s="15"/>
      <c r="AE15" s="15"/>
    </row>
    <row r="16" ht="52.5" customHeight="1">
      <c r="A16" s="16">
        <v>45068.91620226852</v>
      </c>
      <c r="B16" s="17" t="s">
        <v>137</v>
      </c>
      <c r="C16" s="17" t="s">
        <v>106</v>
      </c>
      <c r="D16" s="17">
        <v>1.0</v>
      </c>
      <c r="E16" s="17" t="s">
        <v>138</v>
      </c>
      <c r="F16" s="17">
        <v>95.0</v>
      </c>
      <c r="G16" s="17" t="s">
        <v>139</v>
      </c>
      <c r="H16" s="17" t="s">
        <v>140</v>
      </c>
      <c r="I16" s="17" t="s">
        <v>141</v>
      </c>
      <c r="J16" s="17" t="s">
        <v>112</v>
      </c>
      <c r="K16" s="17" t="s">
        <v>142</v>
      </c>
      <c r="L16" s="17" t="s">
        <v>104</v>
      </c>
      <c r="M16" s="17" t="s">
        <v>37</v>
      </c>
      <c r="N16" s="17" t="s">
        <v>104</v>
      </c>
      <c r="O16" s="17" t="s">
        <v>37</v>
      </c>
      <c r="P16" s="17" t="s">
        <v>37</v>
      </c>
      <c r="Q16" s="17" t="s">
        <v>104</v>
      </c>
      <c r="R16" s="17" t="s">
        <v>104</v>
      </c>
      <c r="S16" s="17" t="s">
        <v>37</v>
      </c>
      <c r="T16" s="17" t="s">
        <v>104</v>
      </c>
      <c r="U16" s="17" t="s">
        <v>104</v>
      </c>
      <c r="V16" s="17" t="s">
        <v>104</v>
      </c>
      <c r="W16" s="17" t="s">
        <v>104</v>
      </c>
      <c r="X16" s="17" t="s">
        <v>34</v>
      </c>
      <c r="Y16" s="17" t="s">
        <v>143</v>
      </c>
      <c r="Z16" s="18"/>
      <c r="AA16" s="18"/>
      <c r="AB16" s="18"/>
      <c r="AC16" s="18"/>
      <c r="AD16" s="18"/>
      <c r="AE16" s="18"/>
    </row>
    <row r="17" ht="52.5" customHeight="1">
      <c r="A17" s="9">
        <v>45068.92018159722</v>
      </c>
      <c r="B17" s="10" t="s">
        <v>144</v>
      </c>
      <c r="C17" s="10" t="s">
        <v>145</v>
      </c>
      <c r="D17" s="10">
        <v>1.0</v>
      </c>
      <c r="E17" s="10"/>
      <c r="F17" s="10">
        <v>60.0</v>
      </c>
      <c r="G17" s="10" t="s">
        <v>146</v>
      </c>
      <c r="H17" s="10" t="s">
        <v>147</v>
      </c>
      <c r="I17" s="10" t="s">
        <v>148</v>
      </c>
      <c r="J17" s="10" t="s">
        <v>149</v>
      </c>
      <c r="K17" s="10" t="s">
        <v>150</v>
      </c>
      <c r="L17" s="10" t="s">
        <v>34</v>
      </c>
      <c r="M17" s="10" t="s">
        <v>35</v>
      </c>
      <c r="N17" s="10" t="s">
        <v>35</v>
      </c>
      <c r="O17" s="10" t="s">
        <v>36</v>
      </c>
      <c r="P17" s="10" t="s">
        <v>35</v>
      </c>
      <c r="Q17" s="10" t="s">
        <v>35</v>
      </c>
      <c r="R17" s="10" t="s">
        <v>36</v>
      </c>
      <c r="S17" s="10" t="s">
        <v>36</v>
      </c>
      <c r="T17" s="10" t="s">
        <v>36</v>
      </c>
      <c r="U17" s="10" t="s">
        <v>36</v>
      </c>
      <c r="V17" s="10" t="s">
        <v>36</v>
      </c>
      <c r="W17" s="10" t="s">
        <v>36</v>
      </c>
      <c r="X17" s="10" t="s">
        <v>37</v>
      </c>
      <c r="Y17" s="10"/>
      <c r="Z17" s="11"/>
      <c r="AA17" s="11"/>
      <c r="AB17" s="11"/>
      <c r="AC17" s="11"/>
      <c r="AD17" s="11"/>
      <c r="AE17" s="11"/>
    </row>
    <row r="18" ht="52.5" customHeight="1">
      <c r="A18" s="9">
        <v>45068.92319148148</v>
      </c>
      <c r="B18" s="10" t="s">
        <v>151</v>
      </c>
      <c r="C18" s="10" t="s">
        <v>152</v>
      </c>
      <c r="D18" s="10" t="s">
        <v>116</v>
      </c>
      <c r="E18" s="10"/>
      <c r="F18" s="10">
        <v>78.0</v>
      </c>
      <c r="G18" s="10" t="s">
        <v>153</v>
      </c>
      <c r="H18" s="10" t="s">
        <v>154</v>
      </c>
      <c r="I18" s="10" t="s">
        <v>155</v>
      </c>
      <c r="J18" s="10" t="s">
        <v>156</v>
      </c>
      <c r="K18" s="10" t="s">
        <v>157</v>
      </c>
      <c r="L18" s="10" t="s">
        <v>104</v>
      </c>
      <c r="M18" s="10" t="s">
        <v>36</v>
      </c>
      <c r="N18" s="10" t="s">
        <v>104</v>
      </c>
      <c r="O18" s="10" t="s">
        <v>37</v>
      </c>
      <c r="P18" s="10" t="s">
        <v>36</v>
      </c>
      <c r="Q18" s="10" t="s">
        <v>37</v>
      </c>
      <c r="R18" s="10" t="s">
        <v>37</v>
      </c>
      <c r="S18" s="10" t="s">
        <v>36</v>
      </c>
      <c r="T18" s="10" t="s">
        <v>36</v>
      </c>
      <c r="U18" s="10" t="s">
        <v>104</v>
      </c>
      <c r="V18" s="10" t="s">
        <v>37</v>
      </c>
      <c r="W18" s="10" t="s">
        <v>36</v>
      </c>
      <c r="X18" s="10" t="s">
        <v>104</v>
      </c>
      <c r="Y18" s="10"/>
      <c r="Z18" s="11"/>
      <c r="AA18" s="11"/>
      <c r="AB18" s="11"/>
      <c r="AC18" s="11"/>
      <c r="AD18" s="11"/>
      <c r="AE18" s="11"/>
    </row>
    <row r="19" ht="52.5" customHeight="1">
      <c r="A19" s="16">
        <v>45068.9266240162</v>
      </c>
      <c r="B19" s="17" t="s">
        <v>158</v>
      </c>
      <c r="C19" s="17" t="s">
        <v>152</v>
      </c>
      <c r="D19" s="17" t="s">
        <v>123</v>
      </c>
      <c r="E19" s="17"/>
      <c r="F19" s="17">
        <v>70.0</v>
      </c>
      <c r="G19" s="17" t="s">
        <v>159</v>
      </c>
      <c r="H19" s="17" t="s">
        <v>160</v>
      </c>
      <c r="I19" s="17" t="s">
        <v>161</v>
      </c>
      <c r="J19" s="17" t="s">
        <v>162</v>
      </c>
      <c r="K19" s="17" t="s">
        <v>163</v>
      </c>
      <c r="L19" s="17" t="s">
        <v>37</v>
      </c>
      <c r="M19" s="17" t="s">
        <v>36</v>
      </c>
      <c r="N19" s="17" t="s">
        <v>37</v>
      </c>
      <c r="O19" s="17" t="s">
        <v>36</v>
      </c>
      <c r="P19" s="17" t="s">
        <v>37</v>
      </c>
      <c r="Q19" s="17" t="s">
        <v>37</v>
      </c>
      <c r="R19" s="17" t="s">
        <v>104</v>
      </c>
      <c r="S19" s="17" t="s">
        <v>36</v>
      </c>
      <c r="T19" s="17" t="s">
        <v>36</v>
      </c>
      <c r="U19" s="17" t="s">
        <v>37</v>
      </c>
      <c r="V19" s="17" t="s">
        <v>37</v>
      </c>
      <c r="W19" s="17" t="s">
        <v>36</v>
      </c>
      <c r="X19" s="17" t="s">
        <v>37</v>
      </c>
      <c r="Y19" s="17" t="s">
        <v>164</v>
      </c>
      <c r="Z19" s="18"/>
      <c r="AA19" s="18"/>
      <c r="AB19" s="18"/>
      <c r="AC19" s="18"/>
      <c r="AD19" s="18"/>
      <c r="AE19" s="18"/>
    </row>
    <row r="20" ht="52.5" customHeight="1">
      <c r="A20" s="13">
        <v>45068.930575185186</v>
      </c>
      <c r="B20" s="14" t="s">
        <v>165</v>
      </c>
      <c r="C20" s="14" t="s">
        <v>145</v>
      </c>
      <c r="D20" s="14" t="s">
        <v>166</v>
      </c>
      <c r="E20" s="14" t="s">
        <v>167</v>
      </c>
      <c r="F20" s="14">
        <v>50.0</v>
      </c>
      <c r="G20" s="14" t="s">
        <v>168</v>
      </c>
      <c r="H20" s="14" t="s">
        <v>169</v>
      </c>
      <c r="I20" s="14" t="s">
        <v>170</v>
      </c>
      <c r="J20" s="14" t="s">
        <v>134</v>
      </c>
      <c r="K20" s="14" t="s">
        <v>171</v>
      </c>
      <c r="L20" s="14" t="s">
        <v>34</v>
      </c>
      <c r="M20" s="14" t="s">
        <v>35</v>
      </c>
      <c r="N20" s="14" t="s">
        <v>35</v>
      </c>
      <c r="O20" s="14" t="s">
        <v>35</v>
      </c>
      <c r="P20" s="14" t="s">
        <v>35</v>
      </c>
      <c r="Q20" s="14" t="s">
        <v>35</v>
      </c>
      <c r="R20" s="14" t="s">
        <v>35</v>
      </c>
      <c r="S20" s="14" t="s">
        <v>35</v>
      </c>
      <c r="T20" s="14" t="s">
        <v>35</v>
      </c>
      <c r="U20" s="14" t="s">
        <v>37</v>
      </c>
      <c r="V20" s="14" t="s">
        <v>37</v>
      </c>
      <c r="W20" s="14" t="s">
        <v>35</v>
      </c>
      <c r="X20" s="14" t="s">
        <v>35</v>
      </c>
      <c r="Y20" s="14" t="s">
        <v>172</v>
      </c>
      <c r="Z20" s="15"/>
      <c r="AA20" s="15"/>
      <c r="AB20" s="15"/>
      <c r="AC20" s="15"/>
      <c r="AD20" s="15"/>
      <c r="AE20" s="15"/>
    </row>
    <row r="21" ht="52.5" customHeight="1">
      <c r="A21" s="9">
        <v>45069.50454673611</v>
      </c>
      <c r="B21" s="10" t="s">
        <v>50</v>
      </c>
      <c r="C21" s="10" t="s">
        <v>173</v>
      </c>
      <c r="D21" s="12" t="s">
        <v>174</v>
      </c>
      <c r="E21" s="10" t="s">
        <v>51</v>
      </c>
      <c r="F21" s="10" t="s">
        <v>175</v>
      </c>
      <c r="G21" s="10" t="s">
        <v>176</v>
      </c>
      <c r="H21" s="10" t="s">
        <v>177</v>
      </c>
      <c r="I21" s="10" t="s">
        <v>178</v>
      </c>
      <c r="J21" s="10" t="s">
        <v>65</v>
      </c>
      <c r="K21" s="10" t="s">
        <v>127</v>
      </c>
      <c r="L21" s="10" t="s">
        <v>34</v>
      </c>
      <c r="M21" s="10" t="s">
        <v>36</v>
      </c>
      <c r="N21" s="10" t="s">
        <v>37</v>
      </c>
      <c r="O21" s="10" t="s">
        <v>37</v>
      </c>
      <c r="P21" s="10" t="s">
        <v>35</v>
      </c>
      <c r="Q21" s="10" t="s">
        <v>35</v>
      </c>
      <c r="R21" s="10" t="s">
        <v>35</v>
      </c>
      <c r="S21" s="10" t="s">
        <v>36</v>
      </c>
      <c r="T21" s="10" t="s">
        <v>35</v>
      </c>
      <c r="U21" s="10" t="s">
        <v>36</v>
      </c>
      <c r="V21" s="10" t="s">
        <v>35</v>
      </c>
      <c r="W21" s="10" t="s">
        <v>36</v>
      </c>
      <c r="X21" s="10" t="s">
        <v>35</v>
      </c>
      <c r="Y21" s="10"/>
      <c r="Z21" s="11"/>
      <c r="AA21" s="11"/>
      <c r="AB21" s="11"/>
      <c r="AC21" s="11"/>
      <c r="AD21" s="11"/>
      <c r="AE21" s="11"/>
    </row>
    <row r="22" ht="52.5" customHeight="1">
      <c r="A22" s="9">
        <v>45069.50927130787</v>
      </c>
      <c r="B22" s="10" t="s">
        <v>67</v>
      </c>
      <c r="C22" s="10" t="s">
        <v>173</v>
      </c>
      <c r="D22" s="10">
        <v>1.0</v>
      </c>
      <c r="E22" s="10" t="s">
        <v>51</v>
      </c>
      <c r="F22" s="10" t="s">
        <v>179</v>
      </c>
      <c r="G22" s="10" t="s">
        <v>180</v>
      </c>
      <c r="H22" s="10" t="s">
        <v>181</v>
      </c>
      <c r="I22" s="10" t="s">
        <v>182</v>
      </c>
      <c r="J22" s="10" t="s">
        <v>73</v>
      </c>
      <c r="K22" s="10">
        <v>3.0</v>
      </c>
      <c r="L22" s="10" t="s">
        <v>34</v>
      </c>
      <c r="M22" s="10" t="s">
        <v>35</v>
      </c>
      <c r="N22" s="10" t="s">
        <v>37</v>
      </c>
      <c r="O22" s="10" t="s">
        <v>37</v>
      </c>
      <c r="P22" s="10" t="s">
        <v>35</v>
      </c>
      <c r="Q22" s="10" t="s">
        <v>35</v>
      </c>
      <c r="R22" s="10" t="s">
        <v>35</v>
      </c>
      <c r="S22" s="10" t="s">
        <v>35</v>
      </c>
      <c r="T22" s="10" t="s">
        <v>35</v>
      </c>
      <c r="U22" s="10" t="s">
        <v>37</v>
      </c>
      <c r="V22" s="10" t="s">
        <v>36</v>
      </c>
      <c r="W22" s="10" t="s">
        <v>36</v>
      </c>
      <c r="X22" s="10" t="s">
        <v>35</v>
      </c>
      <c r="Y22" s="10"/>
      <c r="Z22" s="11"/>
      <c r="AA22" s="11"/>
      <c r="AB22" s="11"/>
      <c r="AC22" s="11"/>
      <c r="AD22" s="11"/>
      <c r="AE22" s="11"/>
    </row>
    <row r="23" ht="52.5" customHeight="1">
      <c r="A23" s="19">
        <v>45071.85562162037</v>
      </c>
      <c r="B23" s="20" t="s">
        <v>183</v>
      </c>
      <c r="C23" s="20" t="s">
        <v>184</v>
      </c>
      <c r="D23" s="20">
        <v>1.0</v>
      </c>
      <c r="E23" s="20" t="s">
        <v>185</v>
      </c>
      <c r="F23" s="20" t="s">
        <v>186</v>
      </c>
      <c r="G23" s="20" t="s">
        <v>187</v>
      </c>
      <c r="H23" s="20" t="s">
        <v>188</v>
      </c>
      <c r="I23" s="20" t="s">
        <v>189</v>
      </c>
      <c r="J23" s="20" t="s">
        <v>190</v>
      </c>
      <c r="K23" s="20" t="s">
        <v>191</v>
      </c>
      <c r="L23" s="20" t="s">
        <v>104</v>
      </c>
      <c r="M23" s="20" t="s">
        <v>36</v>
      </c>
      <c r="N23" s="20" t="s">
        <v>35</v>
      </c>
      <c r="O23" s="20" t="s">
        <v>104</v>
      </c>
      <c r="P23" s="20" t="s">
        <v>37</v>
      </c>
      <c r="Q23" s="20" t="s">
        <v>35</v>
      </c>
      <c r="R23" s="20" t="s">
        <v>37</v>
      </c>
      <c r="S23" s="20" t="s">
        <v>36</v>
      </c>
      <c r="T23" s="20" t="s">
        <v>36</v>
      </c>
      <c r="U23" s="20" t="s">
        <v>36</v>
      </c>
      <c r="V23" s="20" t="s">
        <v>36</v>
      </c>
      <c r="W23" s="20" t="s">
        <v>36</v>
      </c>
      <c r="X23" s="20" t="s">
        <v>36</v>
      </c>
      <c r="Y23" s="20" t="s">
        <v>192</v>
      </c>
      <c r="Z23" s="21"/>
      <c r="AA23" s="21"/>
      <c r="AB23" s="21"/>
      <c r="AC23" s="21"/>
      <c r="AD23" s="21"/>
      <c r="AE23" s="21"/>
    </row>
    <row r="24" ht="52.5" customHeight="1">
      <c r="A24" s="22">
        <v>45071.86308081019</v>
      </c>
      <c r="B24" s="23" t="s">
        <v>193</v>
      </c>
      <c r="C24" s="23" t="s">
        <v>194</v>
      </c>
      <c r="D24" s="23" t="s">
        <v>116</v>
      </c>
      <c r="E24" s="23" t="s">
        <v>195</v>
      </c>
      <c r="F24" s="23" t="s">
        <v>196</v>
      </c>
      <c r="G24" s="23" t="s">
        <v>197</v>
      </c>
      <c r="H24" s="23" t="s">
        <v>198</v>
      </c>
      <c r="I24" s="23" t="s">
        <v>199</v>
      </c>
      <c r="J24" s="23" t="s">
        <v>200</v>
      </c>
      <c r="K24" s="23" t="s">
        <v>201</v>
      </c>
      <c r="L24" s="23" t="s">
        <v>34</v>
      </c>
      <c r="M24" s="23" t="s">
        <v>35</v>
      </c>
      <c r="N24" s="23" t="s">
        <v>104</v>
      </c>
      <c r="O24" s="23" t="s">
        <v>36</v>
      </c>
      <c r="P24" s="23" t="s">
        <v>35</v>
      </c>
      <c r="Q24" s="23" t="s">
        <v>36</v>
      </c>
      <c r="R24" s="23" t="s">
        <v>34</v>
      </c>
      <c r="S24" s="23" t="s">
        <v>36</v>
      </c>
      <c r="T24" s="23" t="s">
        <v>36</v>
      </c>
      <c r="U24" s="23" t="s">
        <v>36</v>
      </c>
      <c r="V24" s="23" t="s">
        <v>104</v>
      </c>
      <c r="W24" s="23" t="s">
        <v>37</v>
      </c>
      <c r="X24" s="23" t="s">
        <v>35</v>
      </c>
      <c r="Y24" s="23" t="s">
        <v>202</v>
      </c>
      <c r="Z24" s="24"/>
      <c r="AA24" s="24"/>
      <c r="AB24" s="24"/>
      <c r="AC24" s="24"/>
      <c r="AD24" s="24"/>
      <c r="AE24" s="24"/>
    </row>
    <row r="25" ht="52.5" customHeight="1">
      <c r="A25" s="19">
        <v>45071.86805331019</v>
      </c>
      <c r="B25" s="20" t="s">
        <v>203</v>
      </c>
      <c r="C25" s="20" t="s">
        <v>173</v>
      </c>
      <c r="D25" s="20" t="s">
        <v>204</v>
      </c>
      <c r="E25" s="20" t="s">
        <v>205</v>
      </c>
      <c r="F25" s="20" t="s">
        <v>206</v>
      </c>
      <c r="G25" s="20" t="s">
        <v>207</v>
      </c>
      <c r="H25" s="20" t="s">
        <v>208</v>
      </c>
      <c r="I25" s="20" t="s">
        <v>209</v>
      </c>
      <c r="J25" s="20" t="s">
        <v>210</v>
      </c>
      <c r="K25" s="20" t="s">
        <v>211</v>
      </c>
      <c r="L25" s="20" t="s">
        <v>104</v>
      </c>
      <c r="M25" s="20" t="s">
        <v>36</v>
      </c>
      <c r="N25" s="20" t="s">
        <v>35</v>
      </c>
      <c r="O25" s="20" t="s">
        <v>37</v>
      </c>
      <c r="P25" s="20" t="s">
        <v>36</v>
      </c>
      <c r="Q25" s="20" t="s">
        <v>37</v>
      </c>
      <c r="R25" s="20" t="s">
        <v>34</v>
      </c>
      <c r="S25" s="20" t="s">
        <v>36</v>
      </c>
      <c r="T25" s="20" t="s">
        <v>36</v>
      </c>
      <c r="U25" s="20" t="s">
        <v>37</v>
      </c>
      <c r="V25" s="20" t="s">
        <v>104</v>
      </c>
      <c r="W25" s="20" t="s">
        <v>36</v>
      </c>
      <c r="X25" s="20" t="s">
        <v>37</v>
      </c>
      <c r="Y25" s="20"/>
      <c r="Z25" s="21"/>
      <c r="AA25" s="21"/>
      <c r="AB25" s="21"/>
      <c r="AC25" s="21"/>
      <c r="AD25" s="21"/>
      <c r="AE25" s="21"/>
    </row>
    <row r="26" ht="52.5" customHeight="1">
      <c r="A26" s="25">
        <v>45071.897689861114</v>
      </c>
      <c r="B26" s="4" t="s">
        <v>25</v>
      </c>
      <c r="C26" s="4" t="s">
        <v>194</v>
      </c>
      <c r="D26" s="4">
        <v>1.0</v>
      </c>
      <c r="E26" s="4" t="s">
        <v>212</v>
      </c>
      <c r="F26" s="4">
        <v>190.0</v>
      </c>
      <c r="G26" s="4" t="s">
        <v>213</v>
      </c>
      <c r="H26" s="4" t="s">
        <v>214</v>
      </c>
      <c r="I26" s="4" t="s">
        <v>51</v>
      </c>
      <c r="J26" s="4" t="s">
        <v>51</v>
      </c>
      <c r="K26" s="4" t="s">
        <v>215</v>
      </c>
      <c r="L26" s="4" t="s">
        <v>34</v>
      </c>
      <c r="M26" s="4" t="s">
        <v>34</v>
      </c>
      <c r="N26" s="4" t="s">
        <v>34</v>
      </c>
      <c r="O26" s="4" t="s">
        <v>34</v>
      </c>
      <c r="P26" s="4" t="s">
        <v>36</v>
      </c>
      <c r="Q26" s="4" t="s">
        <v>36</v>
      </c>
      <c r="R26" s="4" t="s">
        <v>34</v>
      </c>
      <c r="S26" s="4" t="s">
        <v>35</v>
      </c>
      <c r="T26" s="4" t="s">
        <v>36</v>
      </c>
      <c r="U26" s="4" t="s">
        <v>36</v>
      </c>
      <c r="V26" s="4" t="s">
        <v>35</v>
      </c>
      <c r="W26" s="4" t="s">
        <v>36</v>
      </c>
      <c r="X26" s="4" t="s">
        <v>35</v>
      </c>
      <c r="Y26" s="4" t="s">
        <v>216</v>
      </c>
      <c r="Z26" s="26"/>
      <c r="AA26" s="26"/>
      <c r="AB26" s="26"/>
      <c r="AC26" s="26"/>
      <c r="AD26" s="26"/>
      <c r="AE26" s="26"/>
    </row>
    <row r="27" ht="52.5" customHeight="1">
      <c r="A27" s="25">
        <v>45076.681698333334</v>
      </c>
      <c r="B27" s="4" t="s">
        <v>25</v>
      </c>
      <c r="C27" s="4" t="s">
        <v>194</v>
      </c>
      <c r="D27" s="4">
        <v>1.0</v>
      </c>
      <c r="E27" s="4" t="s">
        <v>217</v>
      </c>
      <c r="F27" s="4">
        <v>190.0</v>
      </c>
      <c r="G27" s="4" t="s">
        <v>218</v>
      </c>
      <c r="H27" s="4" t="s">
        <v>219</v>
      </c>
      <c r="I27" s="4" t="s">
        <v>51</v>
      </c>
      <c r="J27" s="4" t="s">
        <v>51</v>
      </c>
      <c r="K27" s="4" t="s">
        <v>220</v>
      </c>
      <c r="L27" s="4" t="s">
        <v>34</v>
      </c>
      <c r="M27" s="4" t="s">
        <v>34</v>
      </c>
      <c r="N27" s="4" t="s">
        <v>34</v>
      </c>
      <c r="O27" s="4" t="s">
        <v>34</v>
      </c>
      <c r="P27" s="4" t="s">
        <v>104</v>
      </c>
      <c r="Q27" s="4" t="s">
        <v>104</v>
      </c>
      <c r="R27" s="4" t="s">
        <v>34</v>
      </c>
      <c r="S27" s="4" t="s">
        <v>104</v>
      </c>
      <c r="T27" s="4" t="s">
        <v>104</v>
      </c>
      <c r="U27" s="4" t="s">
        <v>104</v>
      </c>
      <c r="V27" s="4" t="s">
        <v>104</v>
      </c>
      <c r="W27" s="4" t="s">
        <v>104</v>
      </c>
      <c r="X27" s="4" t="s">
        <v>104</v>
      </c>
      <c r="Y27" s="4" t="s">
        <v>221</v>
      </c>
      <c r="Z27" s="26"/>
      <c r="AA27" s="26"/>
      <c r="AB27" s="26"/>
      <c r="AC27" s="26"/>
      <c r="AD27" s="26"/>
      <c r="AE27" s="26"/>
    </row>
    <row r="28" ht="15.75" customHeight="1">
      <c r="J28" s="27"/>
    </row>
    <row r="29" ht="15.75" customHeight="1">
      <c r="C29" s="28">
        <f>COUNTIF(C3:C27,"Maíz")</f>
        <v>11</v>
      </c>
      <c r="J29" s="27"/>
    </row>
    <row r="30" ht="15.75" customHeight="1">
      <c r="J30" s="27"/>
    </row>
    <row r="31" ht="15.75" customHeight="1">
      <c r="J31" s="27"/>
    </row>
    <row r="32" ht="15.75" customHeight="1">
      <c r="J32" s="27"/>
    </row>
    <row r="33" ht="15.75" customHeight="1">
      <c r="J33" s="27"/>
    </row>
    <row r="34" ht="15.75" customHeight="1">
      <c r="J34" s="27"/>
    </row>
    <row r="35" ht="15.75" customHeight="1">
      <c r="J35" s="27"/>
    </row>
    <row r="36" ht="15.75" customHeight="1">
      <c r="J36" s="27"/>
    </row>
    <row r="37" ht="15.75" customHeight="1">
      <c r="J37" s="27"/>
    </row>
    <row r="38" ht="15.75" customHeight="1">
      <c r="J38" s="27"/>
    </row>
    <row r="39" ht="15.75" customHeight="1">
      <c r="J39" s="27"/>
    </row>
    <row r="40" ht="15.75" customHeight="1">
      <c r="J40" s="27"/>
    </row>
    <row r="41" ht="15.75" customHeight="1">
      <c r="J41" s="27"/>
    </row>
    <row r="42" ht="15.75" customHeight="1">
      <c r="J42" s="27"/>
    </row>
    <row r="43" ht="15.75" customHeight="1">
      <c r="J43" s="27"/>
    </row>
    <row r="44" ht="15.75" customHeight="1">
      <c r="J44" s="27"/>
    </row>
    <row r="45" ht="15.75" customHeight="1">
      <c r="J45" s="27"/>
    </row>
    <row r="46" ht="15.75" customHeight="1">
      <c r="J46" s="27"/>
    </row>
    <row r="47" ht="15.75" customHeight="1">
      <c r="J47" s="27"/>
    </row>
    <row r="48" ht="15.75" customHeight="1">
      <c r="J48" s="27"/>
    </row>
    <row r="49" ht="15.75" customHeight="1">
      <c r="J49" s="27"/>
    </row>
    <row r="50" ht="15.75" customHeight="1">
      <c r="J50" s="27"/>
    </row>
    <row r="51" ht="15.75" customHeight="1">
      <c r="J51" s="27"/>
    </row>
    <row r="52" ht="15.75" customHeight="1">
      <c r="J52" s="27"/>
    </row>
    <row r="53" ht="15.75" customHeight="1">
      <c r="J53" s="27"/>
    </row>
    <row r="54" ht="15.75" customHeight="1">
      <c r="J54" s="27"/>
    </row>
    <row r="55" ht="15.75" customHeight="1">
      <c r="J55" s="27"/>
    </row>
    <row r="56" ht="15.75" customHeight="1">
      <c r="J56" s="27"/>
    </row>
    <row r="57" ht="15.75" customHeight="1">
      <c r="J57" s="27"/>
    </row>
    <row r="58" ht="15.75" customHeight="1">
      <c r="J58" s="27"/>
    </row>
    <row r="59" ht="15.75" customHeight="1">
      <c r="J59" s="27"/>
    </row>
    <row r="60" ht="15.75" customHeight="1">
      <c r="J60" s="27"/>
    </row>
    <row r="61" ht="15.75" customHeight="1">
      <c r="J61" s="27"/>
    </row>
    <row r="62" ht="15.75" customHeight="1">
      <c r="J62" s="27"/>
    </row>
    <row r="63" ht="15.75" customHeight="1">
      <c r="J63" s="27"/>
    </row>
    <row r="64" ht="15.75" customHeight="1">
      <c r="J64" s="27"/>
    </row>
    <row r="65" ht="15.75" customHeight="1">
      <c r="J65" s="27"/>
    </row>
    <row r="66" ht="15.75" customHeight="1">
      <c r="J66" s="27"/>
    </row>
    <row r="67" ht="15.75" customHeight="1">
      <c r="J67" s="27"/>
    </row>
    <row r="68" ht="15.75" customHeight="1">
      <c r="J68" s="27"/>
    </row>
    <row r="69" ht="15.75" customHeight="1">
      <c r="J69" s="27"/>
    </row>
    <row r="70" ht="15.75" customHeight="1">
      <c r="J70" s="27"/>
    </row>
    <row r="71" ht="15.75" customHeight="1">
      <c r="J71" s="27"/>
    </row>
    <row r="72" ht="15.75" customHeight="1">
      <c r="J72" s="27"/>
    </row>
    <row r="73" ht="15.75" customHeight="1">
      <c r="J73" s="27"/>
    </row>
    <row r="74" ht="15.75" customHeight="1">
      <c r="J74" s="27"/>
    </row>
    <row r="75" ht="15.75" customHeight="1">
      <c r="J75" s="27"/>
    </row>
    <row r="76" ht="15.75" customHeight="1">
      <c r="J76" s="27"/>
    </row>
    <row r="77" ht="15.75" customHeight="1">
      <c r="J77" s="27"/>
    </row>
    <row r="78" ht="15.75" customHeight="1">
      <c r="J78" s="27"/>
    </row>
    <row r="79" ht="15.75" customHeight="1">
      <c r="J79" s="27"/>
    </row>
    <row r="80" ht="15.75" customHeight="1">
      <c r="J80" s="27"/>
    </row>
    <row r="81" ht="15.75" customHeight="1">
      <c r="J81" s="27"/>
    </row>
    <row r="82" ht="15.75" customHeight="1">
      <c r="J82" s="27"/>
    </row>
    <row r="83" ht="15.75" customHeight="1">
      <c r="J83" s="27"/>
    </row>
    <row r="84" ht="15.75" customHeight="1">
      <c r="J84" s="27"/>
    </row>
    <row r="85" ht="15.75" customHeight="1">
      <c r="J85" s="27"/>
    </row>
    <row r="86" ht="15.75" customHeight="1">
      <c r="J86" s="27"/>
    </row>
    <row r="87" ht="15.75" customHeight="1">
      <c r="J87" s="27"/>
    </row>
    <row r="88" ht="15.75" customHeight="1">
      <c r="J88" s="27"/>
    </row>
    <row r="89" ht="15.75" customHeight="1">
      <c r="J89" s="27"/>
    </row>
    <row r="90" ht="15.75" customHeight="1">
      <c r="J90" s="27"/>
    </row>
    <row r="91" ht="15.75" customHeight="1">
      <c r="J91" s="27"/>
    </row>
    <row r="92" ht="15.75" customHeight="1">
      <c r="J92" s="27"/>
    </row>
    <row r="93" ht="15.75" customHeight="1">
      <c r="J93" s="27"/>
    </row>
    <row r="94" ht="15.75" customHeight="1">
      <c r="J94" s="27"/>
    </row>
    <row r="95" ht="15.75" customHeight="1">
      <c r="J95" s="27"/>
    </row>
    <row r="96" ht="15.75" customHeight="1">
      <c r="J96" s="27"/>
    </row>
    <row r="97" ht="15.75" customHeight="1">
      <c r="J97" s="27"/>
    </row>
    <row r="98" ht="15.75" customHeight="1">
      <c r="J98" s="27"/>
    </row>
    <row r="99" ht="15.75" customHeight="1">
      <c r="J99" s="27"/>
    </row>
    <row r="100" ht="15.75" customHeight="1">
      <c r="J100" s="27"/>
    </row>
    <row r="101" ht="15.75" customHeight="1">
      <c r="J101" s="27"/>
    </row>
    <row r="102" ht="15.75" customHeight="1">
      <c r="J102" s="27"/>
    </row>
    <row r="103" ht="15.75" customHeight="1">
      <c r="J103" s="27"/>
    </row>
    <row r="104" ht="15.75" customHeight="1">
      <c r="J104" s="27"/>
    </row>
    <row r="105" ht="15.75" customHeight="1">
      <c r="J105" s="27"/>
    </row>
    <row r="106" ht="15.75" customHeight="1">
      <c r="J106" s="27"/>
    </row>
    <row r="107" ht="15.75" customHeight="1">
      <c r="J107" s="27"/>
    </row>
    <row r="108" ht="15.75" customHeight="1">
      <c r="J108" s="27"/>
    </row>
    <row r="109" ht="15.75" customHeight="1">
      <c r="J109" s="27"/>
    </row>
    <row r="110" ht="15.75" customHeight="1">
      <c r="J110" s="27"/>
    </row>
    <row r="111" ht="15.75" customHeight="1">
      <c r="J111" s="27"/>
    </row>
    <row r="112" ht="15.75" customHeight="1">
      <c r="J112" s="27"/>
    </row>
    <row r="113" ht="15.75" customHeight="1">
      <c r="J113" s="27"/>
    </row>
    <row r="114" ht="15.75" customHeight="1">
      <c r="J114" s="27"/>
    </row>
    <row r="115" ht="15.75" customHeight="1">
      <c r="J115" s="27"/>
    </row>
    <row r="116" ht="15.75" customHeight="1">
      <c r="J116" s="27"/>
    </row>
    <row r="117" ht="15.75" customHeight="1">
      <c r="J117" s="27"/>
    </row>
    <row r="118" ht="15.75" customHeight="1">
      <c r="J118" s="27"/>
    </row>
    <row r="119" ht="15.75" customHeight="1">
      <c r="J119" s="27"/>
    </row>
    <row r="120" ht="15.75" customHeight="1">
      <c r="J120" s="27"/>
    </row>
    <row r="121" ht="15.75" customHeight="1">
      <c r="J121" s="27"/>
    </row>
    <row r="122" ht="15.75" customHeight="1">
      <c r="J122" s="27"/>
    </row>
    <row r="123" ht="15.75" customHeight="1">
      <c r="J123" s="27"/>
    </row>
    <row r="124" ht="15.75" customHeight="1">
      <c r="J124" s="27"/>
    </row>
    <row r="125" ht="15.75" customHeight="1">
      <c r="J125" s="27"/>
    </row>
    <row r="126" ht="15.75" customHeight="1">
      <c r="J126" s="27"/>
    </row>
    <row r="127" ht="15.75" customHeight="1">
      <c r="J127" s="27"/>
    </row>
    <row r="128" ht="15.75" customHeight="1">
      <c r="J128" s="27"/>
    </row>
    <row r="129" ht="15.75" customHeight="1">
      <c r="J129" s="27"/>
    </row>
    <row r="130" ht="15.75" customHeight="1">
      <c r="J130" s="27"/>
    </row>
    <row r="131" ht="15.75" customHeight="1">
      <c r="J131" s="27"/>
    </row>
    <row r="132" ht="15.75" customHeight="1">
      <c r="J132" s="27"/>
    </row>
    <row r="133" ht="15.75" customHeight="1">
      <c r="J133" s="27"/>
    </row>
    <row r="134" ht="15.75" customHeight="1">
      <c r="J134" s="27"/>
    </row>
    <row r="135" ht="15.75" customHeight="1">
      <c r="J135" s="27"/>
    </row>
    <row r="136" ht="15.75" customHeight="1">
      <c r="J136" s="27"/>
    </row>
    <row r="137" ht="15.75" customHeight="1">
      <c r="J137" s="27"/>
    </row>
    <row r="138" ht="15.75" customHeight="1">
      <c r="J138" s="27"/>
    </row>
    <row r="139" ht="15.75" customHeight="1">
      <c r="J139" s="27"/>
    </row>
    <row r="140" ht="15.75" customHeight="1">
      <c r="J140" s="27"/>
    </row>
    <row r="141" ht="15.75" customHeight="1">
      <c r="J141" s="27"/>
    </row>
    <row r="142" ht="15.75" customHeight="1">
      <c r="J142" s="27"/>
    </row>
    <row r="143" ht="15.75" customHeight="1">
      <c r="J143" s="27"/>
    </row>
    <row r="144" ht="15.75" customHeight="1">
      <c r="J144" s="27"/>
    </row>
    <row r="145" ht="15.75" customHeight="1">
      <c r="J145" s="27"/>
    </row>
    <row r="146" ht="15.75" customHeight="1">
      <c r="J146" s="27"/>
    </row>
    <row r="147" ht="15.75" customHeight="1">
      <c r="J147" s="27"/>
    </row>
    <row r="148" ht="15.75" customHeight="1">
      <c r="J148" s="27"/>
    </row>
    <row r="149" ht="15.75" customHeight="1">
      <c r="J149" s="27"/>
    </row>
    <row r="150" ht="15.75" customHeight="1">
      <c r="J150" s="27"/>
    </row>
    <row r="151" ht="15.75" customHeight="1">
      <c r="J151" s="27"/>
    </row>
    <row r="152" ht="15.75" customHeight="1">
      <c r="J152" s="27"/>
    </row>
    <row r="153" ht="15.75" customHeight="1">
      <c r="J153" s="27"/>
    </row>
    <row r="154" ht="15.75" customHeight="1">
      <c r="J154" s="27"/>
    </row>
    <row r="155" ht="15.75" customHeight="1">
      <c r="J155" s="27"/>
    </row>
    <row r="156" ht="15.75" customHeight="1">
      <c r="J156" s="27"/>
    </row>
    <row r="157" ht="15.75" customHeight="1">
      <c r="J157" s="27"/>
    </row>
    <row r="158" ht="15.75" customHeight="1">
      <c r="J158" s="27"/>
    </row>
    <row r="159" ht="15.75" customHeight="1">
      <c r="J159" s="27"/>
    </row>
    <row r="160" ht="15.75" customHeight="1">
      <c r="J160" s="27"/>
    </row>
    <row r="161" ht="15.75" customHeight="1">
      <c r="J161" s="27"/>
    </row>
    <row r="162" ht="15.75" customHeight="1">
      <c r="J162" s="27"/>
    </row>
    <row r="163" ht="15.75" customHeight="1">
      <c r="J163" s="27"/>
    </row>
    <row r="164" ht="15.75" customHeight="1">
      <c r="J164" s="27"/>
    </row>
    <row r="165" ht="15.75" customHeight="1">
      <c r="J165" s="27"/>
    </row>
    <row r="166" ht="15.75" customHeight="1">
      <c r="J166" s="27"/>
    </row>
    <row r="167" ht="15.75" customHeight="1">
      <c r="J167" s="27"/>
    </row>
    <row r="168" ht="15.75" customHeight="1">
      <c r="J168" s="27"/>
    </row>
    <row r="169" ht="15.75" customHeight="1">
      <c r="J169" s="27"/>
    </row>
    <row r="170" ht="15.75" customHeight="1">
      <c r="J170" s="27"/>
    </row>
    <row r="171" ht="15.75" customHeight="1">
      <c r="J171" s="27"/>
    </row>
    <row r="172" ht="15.75" customHeight="1">
      <c r="J172" s="27"/>
    </row>
    <row r="173" ht="15.75" customHeight="1">
      <c r="J173" s="27"/>
    </row>
    <row r="174" ht="15.75" customHeight="1">
      <c r="J174" s="27"/>
    </row>
    <row r="175" ht="15.75" customHeight="1">
      <c r="J175" s="27"/>
    </row>
    <row r="176" ht="15.75" customHeight="1">
      <c r="J176" s="27"/>
    </row>
    <row r="177" ht="15.75" customHeight="1">
      <c r="J177" s="27"/>
    </row>
    <row r="178" ht="15.75" customHeight="1">
      <c r="J178" s="27"/>
    </row>
    <row r="179" ht="15.75" customHeight="1">
      <c r="J179" s="27"/>
    </row>
    <row r="180" ht="15.75" customHeight="1">
      <c r="J180" s="27"/>
    </row>
    <row r="181" ht="15.75" customHeight="1">
      <c r="J181" s="27"/>
    </row>
    <row r="182" ht="15.75" customHeight="1">
      <c r="J182" s="27"/>
    </row>
    <row r="183" ht="15.75" customHeight="1">
      <c r="J183" s="27"/>
    </row>
    <row r="184" ht="15.75" customHeight="1">
      <c r="J184" s="27"/>
    </row>
    <row r="185" ht="15.75" customHeight="1">
      <c r="J185" s="27"/>
    </row>
    <row r="186" ht="15.75" customHeight="1">
      <c r="J186" s="27"/>
    </row>
    <row r="187" ht="15.75" customHeight="1">
      <c r="J187" s="27"/>
    </row>
    <row r="188" ht="15.75" customHeight="1">
      <c r="J188" s="27"/>
    </row>
    <row r="189" ht="15.75" customHeight="1">
      <c r="J189" s="27"/>
    </row>
    <row r="190" ht="15.75" customHeight="1">
      <c r="J190" s="27"/>
    </row>
    <row r="191" ht="15.75" customHeight="1">
      <c r="J191" s="27"/>
    </row>
    <row r="192" ht="15.75" customHeight="1">
      <c r="J192" s="27"/>
    </row>
    <row r="193" ht="15.75" customHeight="1">
      <c r="J193" s="27"/>
    </row>
    <row r="194" ht="15.75" customHeight="1">
      <c r="J194" s="27"/>
    </row>
    <row r="195" ht="15.75" customHeight="1">
      <c r="J195" s="27"/>
    </row>
    <row r="196" ht="15.75" customHeight="1">
      <c r="J196" s="27"/>
    </row>
    <row r="197" ht="15.75" customHeight="1">
      <c r="J197" s="27"/>
    </row>
    <row r="198" ht="15.75" customHeight="1">
      <c r="J198" s="27"/>
    </row>
    <row r="199" ht="15.75" customHeight="1">
      <c r="J199" s="27"/>
    </row>
    <row r="200" ht="15.75" customHeight="1">
      <c r="J200" s="27"/>
    </row>
    <row r="201" ht="15.75" customHeight="1">
      <c r="J201" s="27"/>
    </row>
    <row r="202" ht="15.75" customHeight="1">
      <c r="J202" s="27"/>
    </row>
    <row r="203" ht="15.75" customHeight="1">
      <c r="J203" s="27"/>
    </row>
    <row r="204" ht="15.75" customHeight="1">
      <c r="J204" s="27"/>
    </row>
    <row r="205" ht="15.75" customHeight="1">
      <c r="J205" s="27"/>
    </row>
    <row r="206" ht="15.75" customHeight="1">
      <c r="J206" s="27"/>
    </row>
    <row r="207" ht="15.75" customHeight="1">
      <c r="J207" s="27"/>
    </row>
    <row r="208" ht="15.75" customHeight="1">
      <c r="J208" s="27"/>
    </row>
    <row r="209" ht="15.75" customHeight="1">
      <c r="J209" s="27"/>
    </row>
    <row r="210" ht="15.75" customHeight="1">
      <c r="J210" s="27"/>
    </row>
    <row r="211" ht="15.75" customHeight="1">
      <c r="J211" s="27"/>
    </row>
    <row r="212" ht="15.75" customHeight="1">
      <c r="J212" s="27"/>
    </row>
    <row r="213" ht="15.75" customHeight="1">
      <c r="J213" s="27"/>
    </row>
    <row r="214" ht="15.75" customHeight="1">
      <c r="J214" s="27"/>
    </row>
    <row r="215" ht="15.75" customHeight="1">
      <c r="J215" s="27"/>
    </row>
    <row r="216" ht="15.75" customHeight="1">
      <c r="J216" s="27"/>
    </row>
    <row r="217" ht="15.75" customHeight="1">
      <c r="J217" s="27"/>
    </row>
    <row r="218" ht="15.75" customHeight="1">
      <c r="J218" s="27"/>
    </row>
    <row r="219" ht="15.75" customHeight="1">
      <c r="J219" s="27"/>
    </row>
    <row r="220" ht="15.75" customHeight="1">
      <c r="J220" s="27"/>
    </row>
    <row r="221" ht="15.75" customHeight="1">
      <c r="J221" s="27"/>
    </row>
    <row r="222" ht="15.75" customHeight="1">
      <c r="J222" s="27"/>
    </row>
    <row r="223" ht="15.75" customHeight="1">
      <c r="J223" s="27"/>
    </row>
    <row r="224" ht="15.75" customHeight="1">
      <c r="J224" s="27"/>
    </row>
    <row r="225" ht="15.75" customHeight="1">
      <c r="J225" s="27"/>
    </row>
    <row r="226" ht="15.75" customHeight="1">
      <c r="J226" s="27"/>
    </row>
    <row r="227" ht="15.75" customHeight="1">
      <c r="J227" s="27"/>
    </row>
    <row r="228" ht="15.75" customHeight="1">
      <c r="J228" s="27"/>
    </row>
    <row r="229" ht="15.75" customHeight="1">
      <c r="J229" s="27"/>
    </row>
    <row r="230" ht="15.75" customHeight="1">
      <c r="J230" s="27"/>
    </row>
    <row r="231" ht="15.75" customHeight="1">
      <c r="J231" s="27"/>
    </row>
    <row r="232" ht="15.75" customHeight="1">
      <c r="J232" s="27"/>
    </row>
    <row r="233" ht="15.75" customHeight="1">
      <c r="J233" s="27"/>
    </row>
    <row r="234" ht="15.75" customHeight="1">
      <c r="J234" s="27"/>
    </row>
    <row r="235" ht="15.75" customHeight="1">
      <c r="J235" s="27"/>
    </row>
    <row r="236" ht="15.75" customHeight="1">
      <c r="J236" s="27"/>
    </row>
    <row r="237" ht="15.75" customHeight="1">
      <c r="J237" s="27"/>
    </row>
    <row r="238" ht="15.75" customHeight="1">
      <c r="J238" s="27"/>
    </row>
    <row r="239" ht="15.75" customHeight="1">
      <c r="J239" s="27"/>
    </row>
    <row r="240" ht="15.75" customHeight="1">
      <c r="J240" s="27"/>
    </row>
    <row r="241" ht="15.75" customHeight="1">
      <c r="J241" s="27"/>
    </row>
    <row r="242" ht="15.75" customHeight="1">
      <c r="J242" s="27"/>
    </row>
    <row r="243" ht="15.75" customHeight="1">
      <c r="J243" s="27"/>
    </row>
    <row r="244" ht="15.75" customHeight="1">
      <c r="J244" s="27"/>
    </row>
    <row r="245" ht="15.75" customHeight="1">
      <c r="J245" s="27"/>
    </row>
    <row r="246" ht="15.75" customHeight="1">
      <c r="J246" s="27"/>
    </row>
    <row r="247" ht="15.75" customHeight="1">
      <c r="J247" s="27"/>
    </row>
    <row r="248" ht="15.75" customHeight="1">
      <c r="J248" s="27"/>
    </row>
    <row r="249" ht="15.75" customHeight="1">
      <c r="J249" s="27"/>
    </row>
    <row r="250" ht="15.75" customHeight="1">
      <c r="J250" s="27"/>
    </row>
    <row r="251" ht="15.75" customHeight="1">
      <c r="J251" s="27"/>
    </row>
    <row r="252" ht="15.75" customHeight="1">
      <c r="J252" s="27"/>
    </row>
    <row r="253" ht="15.75" customHeight="1">
      <c r="J253" s="27"/>
    </row>
    <row r="254" ht="15.75" customHeight="1">
      <c r="J254" s="27"/>
    </row>
    <row r="255" ht="15.75" customHeight="1">
      <c r="J255" s="27"/>
    </row>
    <row r="256" ht="15.75" customHeight="1">
      <c r="J256" s="27"/>
    </row>
    <row r="257" ht="15.75" customHeight="1">
      <c r="J257" s="27"/>
    </row>
    <row r="258" ht="15.75" customHeight="1">
      <c r="J258" s="27"/>
    </row>
    <row r="259" ht="15.75" customHeight="1">
      <c r="J259" s="27"/>
    </row>
    <row r="260" ht="15.75" customHeight="1">
      <c r="J260" s="27"/>
    </row>
    <row r="261" ht="15.75" customHeight="1">
      <c r="J261" s="27"/>
    </row>
    <row r="262" ht="15.75" customHeight="1">
      <c r="J262" s="27"/>
    </row>
    <row r="263" ht="15.75" customHeight="1">
      <c r="J263" s="27"/>
    </row>
    <row r="264" ht="15.75" customHeight="1">
      <c r="J264" s="27"/>
    </row>
    <row r="265" ht="15.75" customHeight="1">
      <c r="J265" s="27"/>
    </row>
    <row r="266" ht="15.75" customHeight="1">
      <c r="J266" s="27"/>
    </row>
    <row r="267" ht="15.75" customHeight="1">
      <c r="J267" s="27"/>
    </row>
    <row r="268" ht="15.75" customHeight="1">
      <c r="J268" s="27"/>
    </row>
    <row r="269" ht="15.75" customHeight="1">
      <c r="J269" s="27"/>
    </row>
    <row r="270" ht="15.75" customHeight="1">
      <c r="J270" s="27"/>
    </row>
    <row r="271" ht="15.75" customHeight="1">
      <c r="J271" s="27"/>
    </row>
    <row r="272" ht="15.75" customHeight="1">
      <c r="J272" s="27"/>
    </row>
    <row r="273" ht="15.75" customHeight="1">
      <c r="J273" s="27"/>
    </row>
    <row r="274" ht="15.75" customHeight="1">
      <c r="J274" s="27"/>
    </row>
    <row r="275" ht="15.75" customHeight="1">
      <c r="J275" s="27"/>
    </row>
    <row r="276" ht="15.75" customHeight="1">
      <c r="J276" s="27"/>
    </row>
    <row r="277" ht="15.75" customHeight="1">
      <c r="J277" s="27"/>
    </row>
    <row r="278" ht="15.75" customHeight="1">
      <c r="J278" s="27"/>
    </row>
    <row r="279" ht="15.75" customHeight="1">
      <c r="J279" s="27"/>
    </row>
    <row r="280" ht="15.75" customHeight="1">
      <c r="J280" s="27"/>
    </row>
    <row r="281" ht="15.75" customHeight="1">
      <c r="J281" s="27"/>
    </row>
    <row r="282" ht="15.75" customHeight="1">
      <c r="J282" s="27"/>
    </row>
    <row r="283" ht="15.75" customHeight="1">
      <c r="J283" s="27"/>
    </row>
    <row r="284" ht="15.75" customHeight="1">
      <c r="J284" s="27"/>
    </row>
    <row r="285" ht="15.75" customHeight="1">
      <c r="J285" s="27"/>
    </row>
    <row r="286" ht="15.75" customHeight="1">
      <c r="J286" s="27"/>
    </row>
    <row r="287" ht="15.75" customHeight="1">
      <c r="J287" s="27"/>
    </row>
    <row r="288" ht="15.75" customHeight="1">
      <c r="J288" s="27"/>
    </row>
    <row r="289" ht="15.75" customHeight="1">
      <c r="J289" s="27"/>
    </row>
    <row r="290" ht="15.75" customHeight="1">
      <c r="J290" s="27"/>
    </row>
    <row r="291" ht="15.75" customHeight="1">
      <c r="J291" s="27"/>
    </row>
    <row r="292" ht="15.75" customHeight="1">
      <c r="J292" s="27"/>
    </row>
    <row r="293" ht="15.75" customHeight="1">
      <c r="J293" s="27"/>
    </row>
    <row r="294" ht="15.75" customHeight="1">
      <c r="J294" s="27"/>
    </row>
    <row r="295" ht="15.75" customHeight="1">
      <c r="J295" s="27"/>
    </row>
    <row r="296" ht="15.75" customHeight="1">
      <c r="J296" s="27"/>
    </row>
    <row r="297" ht="15.75" customHeight="1">
      <c r="J297" s="27"/>
    </row>
    <row r="298" ht="15.75" customHeight="1">
      <c r="J298" s="27"/>
    </row>
    <row r="299" ht="15.75" customHeight="1">
      <c r="J299" s="27"/>
    </row>
    <row r="300" ht="15.75" customHeight="1">
      <c r="J300" s="27"/>
    </row>
    <row r="301" ht="15.75" customHeight="1">
      <c r="J301" s="27"/>
    </row>
    <row r="302" ht="15.75" customHeight="1">
      <c r="J302" s="27"/>
    </row>
    <row r="303" ht="15.75" customHeight="1">
      <c r="J303" s="27"/>
    </row>
    <row r="304" ht="15.75" customHeight="1">
      <c r="J304" s="27"/>
    </row>
    <row r="305" ht="15.75" customHeight="1">
      <c r="J305" s="27"/>
    </row>
    <row r="306" ht="15.75" customHeight="1">
      <c r="J306" s="27"/>
    </row>
    <row r="307" ht="15.75" customHeight="1">
      <c r="J307" s="27"/>
    </row>
    <row r="308" ht="15.75" customHeight="1">
      <c r="J308" s="27"/>
    </row>
    <row r="309" ht="15.75" customHeight="1">
      <c r="J309" s="27"/>
    </row>
    <row r="310" ht="15.75" customHeight="1">
      <c r="J310" s="27"/>
    </row>
    <row r="311" ht="15.75" customHeight="1">
      <c r="J311" s="27"/>
    </row>
    <row r="312" ht="15.75" customHeight="1">
      <c r="J312" s="27"/>
    </row>
    <row r="313" ht="15.75" customHeight="1">
      <c r="J313" s="27"/>
    </row>
    <row r="314" ht="15.75" customHeight="1">
      <c r="J314" s="27"/>
    </row>
    <row r="315" ht="15.75" customHeight="1">
      <c r="J315" s="27"/>
    </row>
    <row r="316" ht="15.75" customHeight="1">
      <c r="J316" s="27"/>
    </row>
    <row r="317" ht="15.75" customHeight="1">
      <c r="J317" s="27"/>
    </row>
    <row r="318" ht="15.75" customHeight="1">
      <c r="J318" s="27"/>
    </row>
    <row r="319" ht="15.75" customHeight="1">
      <c r="J319" s="27"/>
    </row>
    <row r="320" ht="15.75" customHeight="1">
      <c r="J320" s="27"/>
    </row>
    <row r="321" ht="15.75" customHeight="1">
      <c r="J321" s="27"/>
    </row>
    <row r="322" ht="15.75" customHeight="1">
      <c r="J322" s="27"/>
    </row>
    <row r="323" ht="15.75" customHeight="1">
      <c r="J323" s="27"/>
    </row>
    <row r="324" ht="15.75" customHeight="1">
      <c r="J324" s="27"/>
    </row>
    <row r="325" ht="15.75" customHeight="1">
      <c r="J325" s="27"/>
    </row>
    <row r="326" ht="15.75" customHeight="1">
      <c r="J326" s="27"/>
    </row>
    <row r="327" ht="15.75" customHeight="1">
      <c r="J327" s="27"/>
    </row>
    <row r="328" ht="15.75" customHeight="1">
      <c r="J328" s="27"/>
    </row>
    <row r="329" ht="15.75" customHeight="1">
      <c r="J329" s="27"/>
    </row>
    <row r="330" ht="15.75" customHeight="1">
      <c r="J330" s="27"/>
    </row>
    <row r="331" ht="15.75" customHeight="1">
      <c r="J331" s="27"/>
    </row>
    <row r="332" ht="15.75" customHeight="1">
      <c r="J332" s="27"/>
    </row>
    <row r="333" ht="15.75" customHeight="1">
      <c r="J333" s="27"/>
    </row>
    <row r="334" ht="15.75" customHeight="1">
      <c r="J334" s="27"/>
    </row>
    <row r="335" ht="15.75" customHeight="1">
      <c r="J335" s="27"/>
    </row>
    <row r="336" ht="15.75" customHeight="1">
      <c r="J336" s="27"/>
    </row>
    <row r="337" ht="15.75" customHeight="1">
      <c r="J337" s="27"/>
    </row>
    <row r="338" ht="15.75" customHeight="1">
      <c r="J338" s="27"/>
    </row>
    <row r="339" ht="15.75" customHeight="1">
      <c r="J339" s="27"/>
    </row>
    <row r="340" ht="15.75" customHeight="1">
      <c r="J340" s="27"/>
    </row>
    <row r="341" ht="15.75" customHeight="1">
      <c r="J341" s="27"/>
    </row>
    <row r="342" ht="15.75" customHeight="1">
      <c r="J342" s="27"/>
    </row>
    <row r="343" ht="15.75" customHeight="1">
      <c r="J343" s="27"/>
    </row>
    <row r="344" ht="15.75" customHeight="1">
      <c r="J344" s="27"/>
    </row>
    <row r="345" ht="15.75" customHeight="1">
      <c r="J345" s="27"/>
    </row>
    <row r="346" ht="15.75" customHeight="1">
      <c r="J346" s="27"/>
    </row>
    <row r="347" ht="15.75" customHeight="1">
      <c r="J347" s="27"/>
    </row>
    <row r="348" ht="15.75" customHeight="1">
      <c r="J348" s="27"/>
    </row>
    <row r="349" ht="15.75" customHeight="1">
      <c r="J349" s="27"/>
    </row>
    <row r="350" ht="15.75" customHeight="1">
      <c r="J350" s="27"/>
    </row>
    <row r="351" ht="15.75" customHeight="1">
      <c r="J351" s="27"/>
    </row>
    <row r="352" ht="15.75" customHeight="1">
      <c r="J352" s="27"/>
    </row>
    <row r="353" ht="15.75" customHeight="1">
      <c r="J353" s="27"/>
    </row>
    <row r="354" ht="15.75" customHeight="1">
      <c r="J354" s="27"/>
    </row>
    <row r="355" ht="15.75" customHeight="1">
      <c r="J355" s="27"/>
    </row>
    <row r="356" ht="15.75" customHeight="1">
      <c r="J356" s="27"/>
    </row>
    <row r="357" ht="15.75" customHeight="1">
      <c r="J357" s="27"/>
    </row>
    <row r="358" ht="15.75" customHeight="1">
      <c r="J358" s="27"/>
    </row>
    <row r="359" ht="15.75" customHeight="1">
      <c r="J359" s="27"/>
    </row>
    <row r="360" ht="15.75" customHeight="1">
      <c r="J360" s="27"/>
    </row>
    <row r="361" ht="15.75" customHeight="1">
      <c r="J361" s="27"/>
    </row>
    <row r="362" ht="15.75" customHeight="1">
      <c r="J362" s="27"/>
    </row>
    <row r="363" ht="15.75" customHeight="1">
      <c r="J363" s="27"/>
    </row>
    <row r="364" ht="15.75" customHeight="1">
      <c r="J364" s="27"/>
    </row>
    <row r="365" ht="15.75" customHeight="1">
      <c r="J365" s="27"/>
    </row>
    <row r="366" ht="15.75" customHeight="1">
      <c r="J366" s="27"/>
    </row>
    <row r="367" ht="15.75" customHeight="1">
      <c r="J367" s="27"/>
    </row>
    <row r="368" ht="15.75" customHeight="1">
      <c r="J368" s="27"/>
    </row>
    <row r="369" ht="15.75" customHeight="1">
      <c r="J369" s="27"/>
    </row>
    <row r="370" ht="15.75" customHeight="1">
      <c r="J370" s="27"/>
    </row>
    <row r="371" ht="15.75" customHeight="1">
      <c r="J371" s="27"/>
    </row>
    <row r="372" ht="15.75" customHeight="1">
      <c r="J372" s="27"/>
    </row>
    <row r="373" ht="15.75" customHeight="1">
      <c r="J373" s="27"/>
    </row>
    <row r="374" ht="15.75" customHeight="1">
      <c r="J374" s="27"/>
    </row>
    <row r="375" ht="15.75" customHeight="1">
      <c r="J375" s="27"/>
    </row>
    <row r="376" ht="15.75" customHeight="1">
      <c r="J376" s="27"/>
    </row>
    <row r="377" ht="15.75" customHeight="1">
      <c r="J377" s="27"/>
    </row>
    <row r="378" ht="15.75" customHeight="1">
      <c r="J378" s="27"/>
    </row>
    <row r="379" ht="15.75" customHeight="1">
      <c r="J379" s="27"/>
    </row>
    <row r="380" ht="15.75" customHeight="1">
      <c r="J380" s="27"/>
    </row>
    <row r="381" ht="15.75" customHeight="1">
      <c r="J381" s="27"/>
    </row>
    <row r="382" ht="15.75" customHeight="1">
      <c r="J382" s="27"/>
    </row>
    <row r="383" ht="15.75" customHeight="1">
      <c r="J383" s="27"/>
    </row>
    <row r="384" ht="15.75" customHeight="1">
      <c r="J384" s="27"/>
    </row>
    <row r="385" ht="15.75" customHeight="1">
      <c r="J385" s="27"/>
    </row>
    <row r="386" ht="15.75" customHeight="1">
      <c r="J386" s="27"/>
    </row>
    <row r="387" ht="15.75" customHeight="1">
      <c r="J387" s="27"/>
    </row>
    <row r="388" ht="15.75" customHeight="1">
      <c r="J388" s="27"/>
    </row>
    <row r="389" ht="15.75" customHeight="1">
      <c r="J389" s="27"/>
    </row>
    <row r="390" ht="15.75" customHeight="1">
      <c r="J390" s="27"/>
    </row>
    <row r="391" ht="15.75" customHeight="1">
      <c r="J391" s="27"/>
    </row>
    <row r="392" ht="15.75" customHeight="1">
      <c r="J392" s="27"/>
    </row>
    <row r="393" ht="15.75" customHeight="1">
      <c r="J393" s="27"/>
    </row>
    <row r="394" ht="15.75" customHeight="1">
      <c r="J394" s="27"/>
    </row>
    <row r="395" ht="15.75" customHeight="1">
      <c r="J395" s="27"/>
    </row>
    <row r="396" ht="15.75" customHeight="1">
      <c r="J396" s="27"/>
    </row>
    <row r="397" ht="15.75" customHeight="1">
      <c r="J397" s="27"/>
    </row>
    <row r="398" ht="15.75" customHeight="1">
      <c r="J398" s="27"/>
    </row>
    <row r="399" ht="15.75" customHeight="1">
      <c r="J399" s="27"/>
    </row>
    <row r="400" ht="15.75" customHeight="1">
      <c r="J400" s="27"/>
    </row>
    <row r="401" ht="15.75" customHeight="1">
      <c r="J401" s="27"/>
    </row>
    <row r="402" ht="15.75" customHeight="1">
      <c r="J402" s="27"/>
    </row>
    <row r="403" ht="15.75" customHeight="1">
      <c r="J403" s="27"/>
    </row>
    <row r="404" ht="15.75" customHeight="1">
      <c r="J404" s="27"/>
    </row>
    <row r="405" ht="15.75" customHeight="1">
      <c r="J405" s="27"/>
    </row>
    <row r="406" ht="15.75" customHeight="1">
      <c r="J406" s="27"/>
    </row>
    <row r="407" ht="15.75" customHeight="1">
      <c r="J407" s="27"/>
    </row>
    <row r="408" ht="15.75" customHeight="1">
      <c r="J408" s="27"/>
    </row>
    <row r="409" ht="15.75" customHeight="1">
      <c r="J409" s="27"/>
    </row>
    <row r="410" ht="15.75" customHeight="1">
      <c r="J410" s="27"/>
    </row>
    <row r="411" ht="15.75" customHeight="1">
      <c r="J411" s="27"/>
    </row>
    <row r="412" ht="15.75" customHeight="1">
      <c r="J412" s="27"/>
    </row>
    <row r="413" ht="15.75" customHeight="1">
      <c r="J413" s="27"/>
    </row>
    <row r="414" ht="15.75" customHeight="1">
      <c r="J414" s="27"/>
    </row>
    <row r="415" ht="15.75" customHeight="1">
      <c r="J415" s="27"/>
    </row>
    <row r="416" ht="15.75" customHeight="1">
      <c r="J416" s="27"/>
    </row>
    <row r="417" ht="15.75" customHeight="1">
      <c r="J417" s="27"/>
    </row>
    <row r="418" ht="15.75" customHeight="1">
      <c r="J418" s="27"/>
    </row>
    <row r="419" ht="15.75" customHeight="1">
      <c r="J419" s="27"/>
    </row>
    <row r="420" ht="15.75" customHeight="1">
      <c r="J420" s="27"/>
    </row>
    <row r="421" ht="15.75" customHeight="1">
      <c r="J421" s="27"/>
    </row>
    <row r="422" ht="15.75" customHeight="1">
      <c r="J422" s="27"/>
    </row>
    <row r="423" ht="15.75" customHeight="1">
      <c r="J423" s="27"/>
    </row>
    <row r="424" ht="15.75" customHeight="1">
      <c r="J424" s="27"/>
    </row>
    <row r="425" ht="15.75" customHeight="1">
      <c r="J425" s="27"/>
    </row>
    <row r="426" ht="15.75" customHeight="1">
      <c r="J426" s="27"/>
    </row>
    <row r="427" ht="15.75" customHeight="1">
      <c r="J427" s="27"/>
    </row>
    <row r="428" ht="15.75" customHeight="1">
      <c r="J428" s="27"/>
    </row>
    <row r="429" ht="15.75" customHeight="1">
      <c r="J429" s="27"/>
    </row>
    <row r="430" ht="15.75" customHeight="1">
      <c r="J430" s="27"/>
    </row>
    <row r="431" ht="15.75" customHeight="1">
      <c r="J431" s="27"/>
    </row>
    <row r="432" ht="15.75" customHeight="1">
      <c r="J432" s="27"/>
    </row>
    <row r="433" ht="15.75" customHeight="1">
      <c r="J433" s="27"/>
    </row>
    <row r="434" ht="15.75" customHeight="1">
      <c r="J434" s="27"/>
    </row>
    <row r="435" ht="15.75" customHeight="1">
      <c r="J435" s="27"/>
    </row>
    <row r="436" ht="15.75" customHeight="1">
      <c r="J436" s="27"/>
    </row>
    <row r="437" ht="15.75" customHeight="1">
      <c r="J437" s="27"/>
    </row>
    <row r="438" ht="15.75" customHeight="1">
      <c r="J438" s="27"/>
    </row>
    <row r="439" ht="15.75" customHeight="1">
      <c r="J439" s="27"/>
    </row>
    <row r="440" ht="15.75" customHeight="1">
      <c r="J440" s="27"/>
    </row>
    <row r="441" ht="15.75" customHeight="1">
      <c r="J441" s="27"/>
    </row>
    <row r="442" ht="15.75" customHeight="1">
      <c r="J442" s="27"/>
    </row>
    <row r="443" ht="15.75" customHeight="1">
      <c r="J443" s="27"/>
    </row>
    <row r="444" ht="15.75" customHeight="1">
      <c r="J444" s="27"/>
    </row>
    <row r="445" ht="15.75" customHeight="1">
      <c r="J445" s="27"/>
    </row>
    <row r="446" ht="15.75" customHeight="1">
      <c r="J446" s="27"/>
    </row>
    <row r="447" ht="15.75" customHeight="1">
      <c r="J447" s="27"/>
    </row>
    <row r="448" ht="15.75" customHeight="1">
      <c r="J448" s="27"/>
    </row>
    <row r="449" ht="15.75" customHeight="1">
      <c r="J449" s="27"/>
    </row>
    <row r="450" ht="15.75" customHeight="1">
      <c r="J450" s="27"/>
    </row>
    <row r="451" ht="15.75" customHeight="1">
      <c r="J451" s="27"/>
    </row>
    <row r="452" ht="15.75" customHeight="1">
      <c r="J452" s="27"/>
    </row>
    <row r="453" ht="15.75" customHeight="1">
      <c r="J453" s="27"/>
    </row>
    <row r="454" ht="15.75" customHeight="1">
      <c r="J454" s="27"/>
    </row>
    <row r="455" ht="15.75" customHeight="1">
      <c r="J455" s="27"/>
    </row>
    <row r="456" ht="15.75" customHeight="1">
      <c r="J456" s="27"/>
    </row>
    <row r="457" ht="15.75" customHeight="1">
      <c r="J457" s="27"/>
    </row>
    <row r="458" ht="15.75" customHeight="1">
      <c r="J458" s="27"/>
    </row>
    <row r="459" ht="15.75" customHeight="1">
      <c r="J459" s="27"/>
    </row>
    <row r="460" ht="15.75" customHeight="1">
      <c r="J460" s="27"/>
    </row>
    <row r="461" ht="15.75" customHeight="1">
      <c r="J461" s="27"/>
    </row>
    <row r="462" ht="15.75" customHeight="1">
      <c r="J462" s="27"/>
    </row>
    <row r="463" ht="15.75" customHeight="1">
      <c r="J463" s="27"/>
    </row>
    <row r="464" ht="15.75" customHeight="1">
      <c r="J464" s="27"/>
    </row>
    <row r="465" ht="15.75" customHeight="1">
      <c r="J465" s="27"/>
    </row>
    <row r="466" ht="15.75" customHeight="1">
      <c r="J466" s="27"/>
    </row>
    <row r="467" ht="15.75" customHeight="1">
      <c r="J467" s="27"/>
    </row>
    <row r="468" ht="15.75" customHeight="1">
      <c r="J468" s="27"/>
    </row>
    <row r="469" ht="15.75" customHeight="1">
      <c r="J469" s="27"/>
    </row>
    <row r="470" ht="15.75" customHeight="1">
      <c r="J470" s="27"/>
    </row>
    <row r="471" ht="15.75" customHeight="1">
      <c r="J471" s="27"/>
    </row>
    <row r="472" ht="15.75" customHeight="1">
      <c r="J472" s="27"/>
    </row>
    <row r="473" ht="15.75" customHeight="1">
      <c r="J473" s="27"/>
    </row>
    <row r="474" ht="15.75" customHeight="1">
      <c r="J474" s="27"/>
    </row>
    <row r="475" ht="15.75" customHeight="1">
      <c r="J475" s="27"/>
    </row>
    <row r="476" ht="15.75" customHeight="1">
      <c r="J476" s="27"/>
    </row>
    <row r="477" ht="15.75" customHeight="1">
      <c r="J477" s="27"/>
    </row>
    <row r="478" ht="15.75" customHeight="1">
      <c r="J478" s="27"/>
    </row>
    <row r="479" ht="15.75" customHeight="1">
      <c r="J479" s="27"/>
    </row>
    <row r="480" ht="15.75" customHeight="1">
      <c r="J480" s="27"/>
    </row>
    <row r="481" ht="15.75" customHeight="1">
      <c r="J481" s="27"/>
    </row>
    <row r="482" ht="15.75" customHeight="1">
      <c r="J482" s="27"/>
    </row>
    <row r="483" ht="15.75" customHeight="1">
      <c r="J483" s="27"/>
    </row>
    <row r="484" ht="15.75" customHeight="1">
      <c r="J484" s="27"/>
    </row>
    <row r="485" ht="15.75" customHeight="1">
      <c r="J485" s="27"/>
    </row>
    <row r="486" ht="15.75" customHeight="1">
      <c r="J486" s="27"/>
    </row>
    <row r="487" ht="15.75" customHeight="1">
      <c r="J487" s="27"/>
    </row>
    <row r="488" ht="15.75" customHeight="1">
      <c r="J488" s="27"/>
    </row>
    <row r="489" ht="15.75" customHeight="1">
      <c r="J489" s="27"/>
    </row>
    <row r="490" ht="15.75" customHeight="1">
      <c r="J490" s="27"/>
    </row>
    <row r="491" ht="15.75" customHeight="1">
      <c r="J491" s="27"/>
    </row>
    <row r="492" ht="15.75" customHeight="1">
      <c r="J492" s="27"/>
    </row>
    <row r="493" ht="15.75" customHeight="1">
      <c r="J493" s="27"/>
    </row>
    <row r="494" ht="15.75" customHeight="1">
      <c r="J494" s="27"/>
    </row>
    <row r="495" ht="15.75" customHeight="1">
      <c r="J495" s="27"/>
    </row>
    <row r="496" ht="15.75" customHeight="1">
      <c r="J496" s="27"/>
    </row>
    <row r="497" ht="15.75" customHeight="1">
      <c r="J497" s="27"/>
    </row>
    <row r="498" ht="15.75" customHeight="1">
      <c r="J498" s="27"/>
    </row>
    <row r="499" ht="15.75" customHeight="1">
      <c r="J499" s="27"/>
    </row>
    <row r="500" ht="15.75" customHeight="1">
      <c r="J500" s="27"/>
    </row>
    <row r="501" ht="15.75" customHeight="1">
      <c r="J501" s="27"/>
    </row>
    <row r="502" ht="15.75" customHeight="1">
      <c r="J502" s="27"/>
    </row>
    <row r="503" ht="15.75" customHeight="1">
      <c r="J503" s="27"/>
    </row>
    <row r="504" ht="15.75" customHeight="1">
      <c r="J504" s="27"/>
    </row>
    <row r="505" ht="15.75" customHeight="1">
      <c r="J505" s="27"/>
    </row>
    <row r="506" ht="15.75" customHeight="1">
      <c r="J506" s="27"/>
    </row>
    <row r="507" ht="15.75" customHeight="1">
      <c r="J507" s="27"/>
    </row>
    <row r="508" ht="15.75" customHeight="1">
      <c r="J508" s="27"/>
    </row>
    <row r="509" ht="15.75" customHeight="1">
      <c r="J509" s="27"/>
    </row>
    <row r="510" ht="15.75" customHeight="1">
      <c r="J510" s="27"/>
    </row>
    <row r="511" ht="15.75" customHeight="1">
      <c r="J511" s="27"/>
    </row>
    <row r="512" ht="15.75" customHeight="1">
      <c r="J512" s="27"/>
    </row>
    <row r="513" ht="15.75" customHeight="1">
      <c r="J513" s="27"/>
    </row>
    <row r="514" ht="15.75" customHeight="1">
      <c r="J514" s="27"/>
    </row>
    <row r="515" ht="15.75" customHeight="1">
      <c r="J515" s="27"/>
    </row>
    <row r="516" ht="15.75" customHeight="1">
      <c r="J516" s="27"/>
    </row>
    <row r="517" ht="15.75" customHeight="1">
      <c r="J517" s="27"/>
    </row>
    <row r="518" ht="15.75" customHeight="1">
      <c r="J518" s="27"/>
    </row>
    <row r="519" ht="15.75" customHeight="1">
      <c r="J519" s="27"/>
    </row>
    <row r="520" ht="15.75" customHeight="1">
      <c r="J520" s="27"/>
    </row>
    <row r="521" ht="15.75" customHeight="1">
      <c r="J521" s="27"/>
    </row>
    <row r="522" ht="15.75" customHeight="1">
      <c r="J522" s="27"/>
    </row>
    <row r="523" ht="15.75" customHeight="1">
      <c r="J523" s="27"/>
    </row>
    <row r="524" ht="15.75" customHeight="1">
      <c r="J524" s="27"/>
    </row>
    <row r="525" ht="15.75" customHeight="1">
      <c r="J525" s="27"/>
    </row>
    <row r="526" ht="15.75" customHeight="1">
      <c r="J526" s="27"/>
    </row>
    <row r="527" ht="15.75" customHeight="1">
      <c r="J527" s="27"/>
    </row>
    <row r="528" ht="15.75" customHeight="1">
      <c r="J528" s="27"/>
    </row>
    <row r="529" ht="15.75" customHeight="1">
      <c r="J529" s="27"/>
    </row>
    <row r="530" ht="15.75" customHeight="1">
      <c r="J530" s="27"/>
    </row>
    <row r="531" ht="15.75" customHeight="1">
      <c r="J531" s="27"/>
    </row>
    <row r="532" ht="15.75" customHeight="1">
      <c r="J532" s="27"/>
    </row>
    <row r="533" ht="15.75" customHeight="1">
      <c r="J533" s="27"/>
    </row>
    <row r="534" ht="15.75" customHeight="1">
      <c r="J534" s="27"/>
    </row>
    <row r="535" ht="15.75" customHeight="1">
      <c r="J535" s="27"/>
    </row>
    <row r="536" ht="15.75" customHeight="1">
      <c r="J536" s="27"/>
    </row>
    <row r="537" ht="15.75" customHeight="1">
      <c r="J537" s="27"/>
    </row>
    <row r="538" ht="15.75" customHeight="1">
      <c r="J538" s="27"/>
    </row>
    <row r="539" ht="15.75" customHeight="1">
      <c r="J539" s="27"/>
    </row>
    <row r="540" ht="15.75" customHeight="1">
      <c r="J540" s="27"/>
    </row>
    <row r="541" ht="15.75" customHeight="1">
      <c r="J541" s="27"/>
    </row>
    <row r="542" ht="15.75" customHeight="1">
      <c r="J542" s="27"/>
    </row>
    <row r="543" ht="15.75" customHeight="1">
      <c r="J543" s="27"/>
    </row>
    <row r="544" ht="15.75" customHeight="1">
      <c r="J544" s="27"/>
    </row>
    <row r="545" ht="15.75" customHeight="1">
      <c r="J545" s="27"/>
    </row>
    <row r="546" ht="15.75" customHeight="1">
      <c r="J546" s="27"/>
    </row>
    <row r="547" ht="15.75" customHeight="1">
      <c r="J547" s="27"/>
    </row>
    <row r="548" ht="15.75" customHeight="1">
      <c r="J548" s="27"/>
    </row>
    <row r="549" ht="15.75" customHeight="1">
      <c r="J549" s="27"/>
    </row>
    <row r="550" ht="15.75" customHeight="1">
      <c r="J550" s="27"/>
    </row>
    <row r="551" ht="15.75" customHeight="1">
      <c r="J551" s="27"/>
    </row>
    <row r="552" ht="15.75" customHeight="1">
      <c r="J552" s="27"/>
    </row>
    <row r="553" ht="15.75" customHeight="1">
      <c r="J553" s="27"/>
    </row>
    <row r="554" ht="15.75" customHeight="1">
      <c r="J554" s="27"/>
    </row>
    <row r="555" ht="15.75" customHeight="1">
      <c r="J555" s="27"/>
    </row>
    <row r="556" ht="15.75" customHeight="1">
      <c r="J556" s="27"/>
    </row>
    <row r="557" ht="15.75" customHeight="1">
      <c r="J557" s="27"/>
    </row>
    <row r="558" ht="15.75" customHeight="1">
      <c r="J558" s="27"/>
    </row>
    <row r="559" ht="15.75" customHeight="1">
      <c r="J559" s="27"/>
    </row>
    <row r="560" ht="15.75" customHeight="1">
      <c r="J560" s="27"/>
    </row>
    <row r="561" ht="15.75" customHeight="1">
      <c r="J561" s="27"/>
    </row>
    <row r="562" ht="15.75" customHeight="1">
      <c r="J562" s="27"/>
    </row>
    <row r="563" ht="15.75" customHeight="1">
      <c r="J563" s="27"/>
    </row>
    <row r="564" ht="15.75" customHeight="1">
      <c r="J564" s="27"/>
    </row>
    <row r="565" ht="15.75" customHeight="1">
      <c r="J565" s="27"/>
    </row>
    <row r="566" ht="15.75" customHeight="1">
      <c r="J566" s="27"/>
    </row>
    <row r="567" ht="15.75" customHeight="1">
      <c r="J567" s="27"/>
    </row>
    <row r="568" ht="15.75" customHeight="1">
      <c r="J568" s="27"/>
    </row>
    <row r="569" ht="15.75" customHeight="1">
      <c r="J569" s="27"/>
    </row>
    <row r="570" ht="15.75" customHeight="1">
      <c r="J570" s="27"/>
    </row>
    <row r="571" ht="15.75" customHeight="1">
      <c r="J571" s="27"/>
    </row>
    <row r="572" ht="15.75" customHeight="1">
      <c r="J572" s="27"/>
    </row>
    <row r="573" ht="15.75" customHeight="1">
      <c r="J573" s="27"/>
    </row>
    <row r="574" ht="15.75" customHeight="1">
      <c r="J574" s="27"/>
    </row>
    <row r="575" ht="15.75" customHeight="1">
      <c r="J575" s="27"/>
    </row>
    <row r="576" ht="15.75" customHeight="1">
      <c r="J576" s="27"/>
    </row>
    <row r="577" ht="15.75" customHeight="1">
      <c r="J577" s="27"/>
    </row>
    <row r="578" ht="15.75" customHeight="1">
      <c r="J578" s="27"/>
    </row>
    <row r="579" ht="15.75" customHeight="1">
      <c r="J579" s="27"/>
    </row>
    <row r="580" ht="15.75" customHeight="1">
      <c r="J580" s="27"/>
    </row>
    <row r="581" ht="15.75" customHeight="1">
      <c r="J581" s="27"/>
    </row>
    <row r="582" ht="15.75" customHeight="1">
      <c r="J582" s="27"/>
    </row>
    <row r="583" ht="15.75" customHeight="1">
      <c r="J583" s="27"/>
    </row>
    <row r="584" ht="15.75" customHeight="1">
      <c r="J584" s="27"/>
    </row>
    <row r="585" ht="15.75" customHeight="1">
      <c r="J585" s="27"/>
    </row>
    <row r="586" ht="15.75" customHeight="1">
      <c r="J586" s="27"/>
    </row>
    <row r="587" ht="15.75" customHeight="1">
      <c r="J587" s="27"/>
    </row>
    <row r="588" ht="15.75" customHeight="1">
      <c r="J588" s="27"/>
    </row>
    <row r="589" ht="15.75" customHeight="1">
      <c r="J589" s="27"/>
    </row>
    <row r="590" ht="15.75" customHeight="1">
      <c r="J590" s="27"/>
    </row>
    <row r="591" ht="15.75" customHeight="1">
      <c r="J591" s="27"/>
    </row>
    <row r="592" ht="15.75" customHeight="1">
      <c r="J592" s="27"/>
    </row>
    <row r="593" ht="15.75" customHeight="1">
      <c r="J593" s="27"/>
    </row>
    <row r="594" ht="15.75" customHeight="1">
      <c r="J594" s="27"/>
    </row>
    <row r="595" ht="15.75" customHeight="1">
      <c r="J595" s="27"/>
    </row>
    <row r="596" ht="15.75" customHeight="1">
      <c r="J596" s="27"/>
    </row>
    <row r="597" ht="15.75" customHeight="1">
      <c r="J597" s="27"/>
    </row>
    <row r="598" ht="15.75" customHeight="1">
      <c r="J598" s="27"/>
    </row>
    <row r="599" ht="15.75" customHeight="1">
      <c r="J599" s="27"/>
    </row>
    <row r="600" ht="15.75" customHeight="1">
      <c r="J600" s="27"/>
    </row>
    <row r="601" ht="15.75" customHeight="1">
      <c r="J601" s="27"/>
    </row>
    <row r="602" ht="15.75" customHeight="1">
      <c r="J602" s="27"/>
    </row>
    <row r="603" ht="15.75" customHeight="1">
      <c r="J603" s="27"/>
    </row>
    <row r="604" ht="15.75" customHeight="1">
      <c r="J604" s="27"/>
    </row>
    <row r="605" ht="15.75" customHeight="1">
      <c r="J605" s="27"/>
    </row>
    <row r="606" ht="15.75" customHeight="1">
      <c r="J606" s="27"/>
    </row>
    <row r="607" ht="15.75" customHeight="1">
      <c r="J607" s="27"/>
    </row>
    <row r="608" ht="15.75" customHeight="1">
      <c r="J608" s="27"/>
    </row>
    <row r="609" ht="15.75" customHeight="1">
      <c r="J609" s="27"/>
    </row>
    <row r="610" ht="15.75" customHeight="1">
      <c r="J610" s="27"/>
    </row>
    <row r="611" ht="15.75" customHeight="1">
      <c r="J611" s="27"/>
    </row>
    <row r="612" ht="15.75" customHeight="1">
      <c r="J612" s="27"/>
    </row>
    <row r="613" ht="15.75" customHeight="1">
      <c r="J613" s="27"/>
    </row>
    <row r="614" ht="15.75" customHeight="1">
      <c r="J614" s="27"/>
    </row>
    <row r="615" ht="15.75" customHeight="1">
      <c r="J615" s="27"/>
    </row>
    <row r="616" ht="15.75" customHeight="1">
      <c r="J616" s="27"/>
    </row>
    <row r="617" ht="15.75" customHeight="1">
      <c r="J617" s="27"/>
    </row>
    <row r="618" ht="15.75" customHeight="1">
      <c r="J618" s="27"/>
    </row>
    <row r="619" ht="15.75" customHeight="1">
      <c r="J619" s="27"/>
    </row>
    <row r="620" ht="15.75" customHeight="1">
      <c r="J620" s="27"/>
    </row>
    <row r="621" ht="15.75" customHeight="1">
      <c r="J621" s="27"/>
    </row>
    <row r="622" ht="15.75" customHeight="1">
      <c r="J622" s="27"/>
    </row>
    <row r="623" ht="15.75" customHeight="1">
      <c r="J623" s="27"/>
    </row>
    <row r="624" ht="15.75" customHeight="1">
      <c r="J624" s="27"/>
    </row>
    <row r="625" ht="15.75" customHeight="1">
      <c r="J625" s="27"/>
    </row>
    <row r="626" ht="15.75" customHeight="1">
      <c r="J626" s="27"/>
    </row>
    <row r="627" ht="15.75" customHeight="1">
      <c r="J627" s="27"/>
    </row>
    <row r="628" ht="15.75" customHeight="1">
      <c r="J628" s="27"/>
    </row>
    <row r="629" ht="15.75" customHeight="1">
      <c r="J629" s="27"/>
    </row>
    <row r="630" ht="15.75" customHeight="1">
      <c r="J630" s="27"/>
    </row>
    <row r="631" ht="15.75" customHeight="1">
      <c r="J631" s="27"/>
    </row>
    <row r="632" ht="15.75" customHeight="1">
      <c r="J632" s="27"/>
    </row>
    <row r="633" ht="15.75" customHeight="1">
      <c r="J633" s="27"/>
    </row>
    <row r="634" ht="15.75" customHeight="1">
      <c r="J634" s="27"/>
    </row>
    <row r="635" ht="15.75" customHeight="1">
      <c r="J635" s="27"/>
    </row>
    <row r="636" ht="15.75" customHeight="1">
      <c r="J636" s="27"/>
    </row>
    <row r="637" ht="15.75" customHeight="1">
      <c r="J637" s="27"/>
    </row>
    <row r="638" ht="15.75" customHeight="1">
      <c r="J638" s="27"/>
    </row>
    <row r="639" ht="15.75" customHeight="1">
      <c r="J639" s="27"/>
    </row>
    <row r="640" ht="15.75" customHeight="1">
      <c r="J640" s="27"/>
    </row>
    <row r="641" ht="15.75" customHeight="1">
      <c r="J641" s="27"/>
    </row>
    <row r="642" ht="15.75" customHeight="1">
      <c r="J642" s="27"/>
    </row>
    <row r="643" ht="15.75" customHeight="1">
      <c r="J643" s="27"/>
    </row>
    <row r="644" ht="15.75" customHeight="1">
      <c r="J644" s="27"/>
    </row>
    <row r="645" ht="15.75" customHeight="1">
      <c r="J645" s="27"/>
    </row>
    <row r="646" ht="15.75" customHeight="1">
      <c r="J646" s="27"/>
    </row>
    <row r="647" ht="15.75" customHeight="1">
      <c r="J647" s="27"/>
    </row>
    <row r="648" ht="15.75" customHeight="1">
      <c r="J648" s="27"/>
    </row>
    <row r="649" ht="15.75" customHeight="1">
      <c r="J649" s="27"/>
    </row>
    <row r="650" ht="15.75" customHeight="1">
      <c r="J650" s="27"/>
    </row>
    <row r="651" ht="15.75" customHeight="1">
      <c r="J651" s="27"/>
    </row>
    <row r="652" ht="15.75" customHeight="1">
      <c r="J652" s="27"/>
    </row>
    <row r="653" ht="15.75" customHeight="1">
      <c r="J653" s="27"/>
    </row>
    <row r="654" ht="15.75" customHeight="1">
      <c r="J654" s="27"/>
    </row>
    <row r="655" ht="15.75" customHeight="1">
      <c r="J655" s="27"/>
    </row>
    <row r="656" ht="15.75" customHeight="1">
      <c r="J656" s="27"/>
    </row>
    <row r="657" ht="15.75" customHeight="1">
      <c r="J657" s="27"/>
    </row>
    <row r="658" ht="15.75" customHeight="1">
      <c r="J658" s="27"/>
    </row>
    <row r="659" ht="15.75" customHeight="1">
      <c r="J659" s="27"/>
    </row>
    <row r="660" ht="15.75" customHeight="1">
      <c r="J660" s="27"/>
    </row>
    <row r="661" ht="15.75" customHeight="1">
      <c r="J661" s="27"/>
    </row>
    <row r="662" ht="15.75" customHeight="1">
      <c r="J662" s="27"/>
    </row>
    <row r="663" ht="15.75" customHeight="1">
      <c r="J663" s="27"/>
    </row>
    <row r="664" ht="15.75" customHeight="1">
      <c r="J664" s="27"/>
    </row>
    <row r="665" ht="15.75" customHeight="1">
      <c r="J665" s="27"/>
    </row>
    <row r="666" ht="15.75" customHeight="1">
      <c r="J666" s="27"/>
    </row>
    <row r="667" ht="15.75" customHeight="1">
      <c r="J667" s="27"/>
    </row>
    <row r="668" ht="15.75" customHeight="1">
      <c r="J668" s="27"/>
    </row>
    <row r="669" ht="15.75" customHeight="1">
      <c r="J669" s="27"/>
    </row>
    <row r="670" ht="15.75" customHeight="1">
      <c r="J670" s="27"/>
    </row>
    <row r="671" ht="15.75" customHeight="1">
      <c r="J671" s="27"/>
    </row>
    <row r="672" ht="15.75" customHeight="1">
      <c r="J672" s="27"/>
    </row>
    <row r="673" ht="15.75" customHeight="1">
      <c r="J673" s="27"/>
    </row>
    <row r="674" ht="15.75" customHeight="1">
      <c r="J674" s="27"/>
    </row>
    <row r="675" ht="15.75" customHeight="1">
      <c r="J675" s="27"/>
    </row>
    <row r="676" ht="15.75" customHeight="1">
      <c r="J676" s="27"/>
    </row>
    <row r="677" ht="15.75" customHeight="1">
      <c r="J677" s="27"/>
    </row>
    <row r="678" ht="15.75" customHeight="1">
      <c r="J678" s="27"/>
    </row>
    <row r="679" ht="15.75" customHeight="1">
      <c r="J679" s="27"/>
    </row>
    <row r="680" ht="15.75" customHeight="1">
      <c r="J680" s="27"/>
    </row>
    <row r="681" ht="15.75" customHeight="1">
      <c r="J681" s="27"/>
    </row>
    <row r="682" ht="15.75" customHeight="1">
      <c r="J682" s="27"/>
    </row>
    <row r="683" ht="15.75" customHeight="1">
      <c r="J683" s="27"/>
    </row>
    <row r="684" ht="15.75" customHeight="1">
      <c r="J684" s="27"/>
    </row>
    <row r="685" ht="15.75" customHeight="1">
      <c r="J685" s="27"/>
    </row>
    <row r="686" ht="15.75" customHeight="1">
      <c r="J686" s="27"/>
    </row>
    <row r="687" ht="15.75" customHeight="1">
      <c r="J687" s="27"/>
    </row>
    <row r="688" ht="15.75" customHeight="1">
      <c r="J688" s="27"/>
    </row>
    <row r="689" ht="15.75" customHeight="1">
      <c r="J689" s="27"/>
    </row>
    <row r="690" ht="15.75" customHeight="1">
      <c r="J690" s="27"/>
    </row>
    <row r="691" ht="15.75" customHeight="1">
      <c r="J691" s="27"/>
    </row>
    <row r="692" ht="15.75" customHeight="1">
      <c r="J692" s="27"/>
    </row>
    <row r="693" ht="15.75" customHeight="1">
      <c r="J693" s="27"/>
    </row>
    <row r="694" ht="15.75" customHeight="1">
      <c r="J694" s="27"/>
    </row>
    <row r="695" ht="15.75" customHeight="1">
      <c r="J695" s="27"/>
    </row>
    <row r="696" ht="15.75" customHeight="1">
      <c r="J696" s="27"/>
    </row>
    <row r="697" ht="15.75" customHeight="1">
      <c r="J697" s="27"/>
    </row>
    <row r="698" ht="15.75" customHeight="1">
      <c r="J698" s="27"/>
    </row>
    <row r="699" ht="15.75" customHeight="1">
      <c r="J699" s="27"/>
    </row>
    <row r="700" ht="15.75" customHeight="1">
      <c r="J700" s="27"/>
    </row>
    <row r="701" ht="15.75" customHeight="1">
      <c r="J701" s="27"/>
    </row>
    <row r="702" ht="15.75" customHeight="1">
      <c r="J702" s="27"/>
    </row>
    <row r="703" ht="15.75" customHeight="1">
      <c r="J703" s="27"/>
    </row>
    <row r="704" ht="15.75" customHeight="1">
      <c r="J704" s="27"/>
    </row>
    <row r="705" ht="15.75" customHeight="1">
      <c r="J705" s="27"/>
    </row>
    <row r="706" ht="15.75" customHeight="1">
      <c r="J706" s="27"/>
    </row>
    <row r="707" ht="15.75" customHeight="1">
      <c r="J707" s="27"/>
    </row>
    <row r="708" ht="15.75" customHeight="1">
      <c r="J708" s="27"/>
    </row>
    <row r="709" ht="15.75" customHeight="1">
      <c r="J709" s="27"/>
    </row>
    <row r="710" ht="15.75" customHeight="1">
      <c r="J710" s="27"/>
    </row>
    <row r="711" ht="15.75" customHeight="1">
      <c r="J711" s="27"/>
    </row>
    <row r="712" ht="15.75" customHeight="1">
      <c r="J712" s="27"/>
    </row>
    <row r="713" ht="15.75" customHeight="1">
      <c r="J713" s="27"/>
    </row>
    <row r="714" ht="15.75" customHeight="1">
      <c r="J714" s="27"/>
    </row>
    <row r="715" ht="15.75" customHeight="1">
      <c r="J715" s="27"/>
    </row>
    <row r="716" ht="15.75" customHeight="1">
      <c r="J716" s="27"/>
    </row>
    <row r="717" ht="15.75" customHeight="1">
      <c r="J717" s="27"/>
    </row>
    <row r="718" ht="15.75" customHeight="1">
      <c r="J718" s="27"/>
    </row>
    <row r="719" ht="15.75" customHeight="1">
      <c r="J719" s="27"/>
    </row>
    <row r="720" ht="15.75" customHeight="1">
      <c r="J720" s="27"/>
    </row>
    <row r="721" ht="15.75" customHeight="1">
      <c r="J721" s="27"/>
    </row>
    <row r="722" ht="15.75" customHeight="1">
      <c r="J722" s="27"/>
    </row>
    <row r="723" ht="15.75" customHeight="1">
      <c r="J723" s="27"/>
    </row>
    <row r="724" ht="15.75" customHeight="1">
      <c r="J724" s="27"/>
    </row>
    <row r="725" ht="15.75" customHeight="1">
      <c r="J725" s="27"/>
    </row>
    <row r="726" ht="15.75" customHeight="1">
      <c r="J726" s="27"/>
    </row>
    <row r="727" ht="15.75" customHeight="1">
      <c r="J727" s="27"/>
    </row>
    <row r="728" ht="15.75" customHeight="1">
      <c r="J728" s="27"/>
    </row>
    <row r="729" ht="15.75" customHeight="1">
      <c r="J729" s="27"/>
    </row>
    <row r="730" ht="15.75" customHeight="1">
      <c r="J730" s="27"/>
    </row>
    <row r="731" ht="15.75" customHeight="1">
      <c r="J731" s="27"/>
    </row>
    <row r="732" ht="15.75" customHeight="1">
      <c r="J732" s="27"/>
    </row>
    <row r="733" ht="15.75" customHeight="1">
      <c r="J733" s="27"/>
    </row>
    <row r="734" ht="15.75" customHeight="1">
      <c r="J734" s="27"/>
    </row>
    <row r="735" ht="15.75" customHeight="1">
      <c r="J735" s="27"/>
    </row>
    <row r="736" ht="15.75" customHeight="1">
      <c r="J736" s="27"/>
    </row>
    <row r="737" ht="15.75" customHeight="1">
      <c r="J737" s="27"/>
    </row>
    <row r="738" ht="15.75" customHeight="1">
      <c r="J738" s="27"/>
    </row>
    <row r="739" ht="15.75" customHeight="1">
      <c r="J739" s="27"/>
    </row>
    <row r="740" ht="15.75" customHeight="1">
      <c r="J740" s="27"/>
    </row>
    <row r="741" ht="15.75" customHeight="1">
      <c r="J741" s="27"/>
    </row>
    <row r="742" ht="15.75" customHeight="1">
      <c r="J742" s="27"/>
    </row>
    <row r="743" ht="15.75" customHeight="1">
      <c r="J743" s="27"/>
    </row>
    <row r="744" ht="15.75" customHeight="1">
      <c r="J744" s="27"/>
    </row>
    <row r="745" ht="15.75" customHeight="1">
      <c r="J745" s="27"/>
    </row>
    <row r="746" ht="15.75" customHeight="1">
      <c r="J746" s="27"/>
    </row>
    <row r="747" ht="15.75" customHeight="1">
      <c r="J747" s="27"/>
    </row>
    <row r="748" ht="15.75" customHeight="1">
      <c r="J748" s="27"/>
    </row>
    <row r="749" ht="15.75" customHeight="1">
      <c r="J749" s="27"/>
    </row>
    <row r="750" ht="15.75" customHeight="1">
      <c r="J750" s="27"/>
    </row>
    <row r="751" ht="15.75" customHeight="1">
      <c r="J751" s="27"/>
    </row>
    <row r="752" ht="15.75" customHeight="1">
      <c r="J752" s="27"/>
    </row>
    <row r="753" ht="15.75" customHeight="1">
      <c r="J753" s="27"/>
    </row>
    <row r="754" ht="15.75" customHeight="1">
      <c r="J754" s="27"/>
    </row>
    <row r="755" ht="15.75" customHeight="1">
      <c r="J755" s="27"/>
    </row>
    <row r="756" ht="15.75" customHeight="1">
      <c r="J756" s="27"/>
    </row>
    <row r="757" ht="15.75" customHeight="1">
      <c r="J757" s="27"/>
    </row>
    <row r="758" ht="15.75" customHeight="1">
      <c r="J758" s="27"/>
    </row>
    <row r="759" ht="15.75" customHeight="1">
      <c r="J759" s="27"/>
    </row>
    <row r="760" ht="15.75" customHeight="1">
      <c r="J760" s="27"/>
    </row>
    <row r="761" ht="15.75" customHeight="1">
      <c r="J761" s="27"/>
    </row>
    <row r="762" ht="15.75" customHeight="1">
      <c r="J762" s="27"/>
    </row>
    <row r="763" ht="15.75" customHeight="1">
      <c r="J763" s="27"/>
    </row>
    <row r="764" ht="15.75" customHeight="1">
      <c r="J764" s="27"/>
    </row>
    <row r="765" ht="15.75" customHeight="1">
      <c r="J765" s="27"/>
    </row>
    <row r="766" ht="15.75" customHeight="1">
      <c r="J766" s="27"/>
    </row>
    <row r="767" ht="15.75" customHeight="1">
      <c r="J767" s="27"/>
    </row>
    <row r="768" ht="15.75" customHeight="1">
      <c r="J768" s="27"/>
    </row>
    <row r="769" ht="15.75" customHeight="1">
      <c r="J769" s="27"/>
    </row>
    <row r="770" ht="15.75" customHeight="1">
      <c r="J770" s="27"/>
    </row>
    <row r="771" ht="15.75" customHeight="1">
      <c r="J771" s="27"/>
    </row>
    <row r="772" ht="15.75" customHeight="1">
      <c r="J772" s="27"/>
    </row>
    <row r="773" ht="15.75" customHeight="1">
      <c r="J773" s="27"/>
    </row>
    <row r="774" ht="15.75" customHeight="1">
      <c r="J774" s="27"/>
    </row>
    <row r="775" ht="15.75" customHeight="1">
      <c r="J775" s="27"/>
    </row>
    <row r="776" ht="15.75" customHeight="1">
      <c r="J776" s="27"/>
    </row>
    <row r="777" ht="15.75" customHeight="1">
      <c r="J777" s="27"/>
    </row>
    <row r="778" ht="15.75" customHeight="1">
      <c r="J778" s="27"/>
    </row>
    <row r="779" ht="15.75" customHeight="1">
      <c r="J779" s="27"/>
    </row>
    <row r="780" ht="15.75" customHeight="1">
      <c r="J780" s="27"/>
    </row>
    <row r="781" ht="15.75" customHeight="1">
      <c r="J781" s="27"/>
    </row>
    <row r="782" ht="15.75" customHeight="1">
      <c r="J782" s="27"/>
    </row>
    <row r="783" ht="15.75" customHeight="1">
      <c r="J783" s="27"/>
    </row>
    <row r="784" ht="15.75" customHeight="1">
      <c r="J784" s="27"/>
    </row>
    <row r="785" ht="15.75" customHeight="1">
      <c r="J785" s="27"/>
    </row>
    <row r="786" ht="15.75" customHeight="1">
      <c r="J786" s="27"/>
    </row>
    <row r="787" ht="15.75" customHeight="1">
      <c r="J787" s="27"/>
    </row>
    <row r="788" ht="15.75" customHeight="1">
      <c r="J788" s="27"/>
    </row>
    <row r="789" ht="15.75" customHeight="1">
      <c r="J789" s="27"/>
    </row>
    <row r="790" ht="15.75" customHeight="1">
      <c r="J790" s="27"/>
    </row>
    <row r="791" ht="15.75" customHeight="1">
      <c r="J791" s="27"/>
    </row>
    <row r="792" ht="15.75" customHeight="1">
      <c r="J792" s="27"/>
    </row>
    <row r="793" ht="15.75" customHeight="1">
      <c r="J793" s="27"/>
    </row>
    <row r="794" ht="15.75" customHeight="1">
      <c r="J794" s="27"/>
    </row>
    <row r="795" ht="15.75" customHeight="1">
      <c r="J795" s="27"/>
    </row>
    <row r="796" ht="15.75" customHeight="1">
      <c r="J796" s="27"/>
    </row>
    <row r="797" ht="15.75" customHeight="1">
      <c r="J797" s="27"/>
    </row>
    <row r="798" ht="15.75" customHeight="1">
      <c r="J798" s="27"/>
    </row>
    <row r="799" ht="15.75" customHeight="1">
      <c r="J799" s="27"/>
    </row>
    <row r="800" ht="15.75" customHeight="1">
      <c r="J800" s="27"/>
    </row>
    <row r="801" ht="15.75" customHeight="1">
      <c r="J801" s="27"/>
    </row>
    <row r="802" ht="15.75" customHeight="1">
      <c r="J802" s="27"/>
    </row>
    <row r="803" ht="15.75" customHeight="1">
      <c r="J803" s="27"/>
    </row>
    <row r="804" ht="15.75" customHeight="1">
      <c r="J804" s="27"/>
    </row>
    <row r="805" ht="15.75" customHeight="1">
      <c r="J805" s="27"/>
    </row>
    <row r="806" ht="15.75" customHeight="1">
      <c r="J806" s="27"/>
    </row>
    <row r="807" ht="15.75" customHeight="1">
      <c r="J807" s="27"/>
    </row>
    <row r="808" ht="15.75" customHeight="1">
      <c r="J808" s="27"/>
    </row>
    <row r="809" ht="15.75" customHeight="1">
      <c r="J809" s="27"/>
    </row>
    <row r="810" ht="15.75" customHeight="1">
      <c r="J810" s="27"/>
    </row>
    <row r="811" ht="15.75" customHeight="1">
      <c r="J811" s="27"/>
    </row>
    <row r="812" ht="15.75" customHeight="1">
      <c r="J812" s="27"/>
    </row>
    <row r="813" ht="15.75" customHeight="1">
      <c r="J813" s="27"/>
    </row>
    <row r="814" ht="15.75" customHeight="1">
      <c r="J814" s="27"/>
    </row>
    <row r="815" ht="15.75" customHeight="1">
      <c r="J815" s="27"/>
    </row>
    <row r="816" ht="15.75" customHeight="1">
      <c r="J816" s="27"/>
    </row>
    <row r="817" ht="15.75" customHeight="1">
      <c r="J817" s="27"/>
    </row>
    <row r="818" ht="15.75" customHeight="1">
      <c r="J818" s="27"/>
    </row>
    <row r="819" ht="15.75" customHeight="1">
      <c r="J819" s="27"/>
    </row>
    <row r="820" ht="15.75" customHeight="1">
      <c r="J820" s="27"/>
    </row>
    <row r="821" ht="15.75" customHeight="1">
      <c r="J821" s="27"/>
    </row>
    <row r="822" ht="15.75" customHeight="1">
      <c r="J822" s="27"/>
    </row>
    <row r="823" ht="15.75" customHeight="1">
      <c r="J823" s="27"/>
    </row>
    <row r="824" ht="15.75" customHeight="1">
      <c r="J824" s="27"/>
    </row>
    <row r="825" ht="15.75" customHeight="1">
      <c r="J825" s="27"/>
    </row>
    <row r="826" ht="15.75" customHeight="1">
      <c r="J826" s="27"/>
    </row>
    <row r="827" ht="15.75" customHeight="1">
      <c r="J827" s="27"/>
    </row>
    <row r="828" ht="15.75" customHeight="1">
      <c r="J828" s="27"/>
    </row>
    <row r="829" ht="15.75" customHeight="1">
      <c r="J829" s="27"/>
    </row>
    <row r="830" ht="15.75" customHeight="1">
      <c r="J830" s="27"/>
    </row>
    <row r="831" ht="15.75" customHeight="1">
      <c r="J831" s="27"/>
    </row>
    <row r="832" ht="15.75" customHeight="1">
      <c r="J832" s="27"/>
    </row>
    <row r="833" ht="15.75" customHeight="1">
      <c r="J833" s="27"/>
    </row>
    <row r="834" ht="15.75" customHeight="1">
      <c r="J834" s="27"/>
    </row>
    <row r="835" ht="15.75" customHeight="1">
      <c r="J835" s="27"/>
    </row>
    <row r="836" ht="15.75" customHeight="1">
      <c r="J836" s="27"/>
    </row>
    <row r="837" ht="15.75" customHeight="1">
      <c r="J837" s="27"/>
    </row>
    <row r="838" ht="15.75" customHeight="1">
      <c r="J838" s="27"/>
    </row>
    <row r="839" ht="15.75" customHeight="1">
      <c r="J839" s="27"/>
    </row>
    <row r="840" ht="15.75" customHeight="1">
      <c r="J840" s="27"/>
    </row>
    <row r="841" ht="15.75" customHeight="1">
      <c r="J841" s="27"/>
    </row>
    <row r="842" ht="15.75" customHeight="1">
      <c r="J842" s="27"/>
    </row>
    <row r="843" ht="15.75" customHeight="1">
      <c r="J843" s="27"/>
    </row>
    <row r="844" ht="15.75" customHeight="1">
      <c r="J844" s="27"/>
    </row>
    <row r="845" ht="15.75" customHeight="1">
      <c r="J845" s="27"/>
    </row>
    <row r="846" ht="15.75" customHeight="1">
      <c r="J846" s="27"/>
    </row>
    <row r="847" ht="15.75" customHeight="1">
      <c r="J847" s="27"/>
    </row>
    <row r="848" ht="15.75" customHeight="1">
      <c r="J848" s="27"/>
    </row>
    <row r="849" ht="15.75" customHeight="1">
      <c r="J849" s="27"/>
    </row>
    <row r="850" ht="15.75" customHeight="1">
      <c r="J850" s="27"/>
    </row>
    <row r="851" ht="15.75" customHeight="1">
      <c r="J851" s="27"/>
    </row>
    <row r="852" ht="15.75" customHeight="1">
      <c r="J852" s="27"/>
    </row>
    <row r="853" ht="15.75" customHeight="1">
      <c r="J853" s="27"/>
    </row>
    <row r="854" ht="15.75" customHeight="1">
      <c r="J854" s="27"/>
    </row>
    <row r="855" ht="15.75" customHeight="1">
      <c r="J855" s="27"/>
    </row>
    <row r="856" ht="15.75" customHeight="1">
      <c r="J856" s="27"/>
    </row>
    <row r="857" ht="15.75" customHeight="1">
      <c r="J857" s="27"/>
    </row>
    <row r="858" ht="15.75" customHeight="1">
      <c r="J858" s="27"/>
    </row>
    <row r="859" ht="15.75" customHeight="1">
      <c r="J859" s="27"/>
    </row>
    <row r="860" ht="15.75" customHeight="1">
      <c r="J860" s="27"/>
    </row>
    <row r="861" ht="15.75" customHeight="1">
      <c r="J861" s="27"/>
    </row>
    <row r="862" ht="15.75" customHeight="1">
      <c r="J862" s="27"/>
    </row>
    <row r="863" ht="15.75" customHeight="1">
      <c r="J863" s="27"/>
    </row>
    <row r="864" ht="15.75" customHeight="1">
      <c r="J864" s="27"/>
    </row>
    <row r="865" ht="15.75" customHeight="1">
      <c r="J865" s="27"/>
    </row>
    <row r="866" ht="15.75" customHeight="1">
      <c r="J866" s="27"/>
    </row>
    <row r="867" ht="15.75" customHeight="1">
      <c r="J867" s="27"/>
    </row>
    <row r="868" ht="15.75" customHeight="1">
      <c r="J868" s="27"/>
    </row>
    <row r="869" ht="15.75" customHeight="1">
      <c r="J869" s="27"/>
    </row>
    <row r="870" ht="15.75" customHeight="1">
      <c r="J870" s="27"/>
    </row>
    <row r="871" ht="15.75" customHeight="1">
      <c r="J871" s="27"/>
    </row>
    <row r="872" ht="15.75" customHeight="1">
      <c r="J872" s="27"/>
    </row>
    <row r="873" ht="15.75" customHeight="1">
      <c r="J873" s="27"/>
    </row>
    <row r="874" ht="15.75" customHeight="1">
      <c r="J874" s="27"/>
    </row>
    <row r="875" ht="15.75" customHeight="1">
      <c r="J875" s="27"/>
    </row>
    <row r="876" ht="15.75" customHeight="1">
      <c r="J876" s="27"/>
    </row>
    <row r="877" ht="15.75" customHeight="1">
      <c r="J877" s="27"/>
    </row>
    <row r="878" ht="15.75" customHeight="1">
      <c r="J878" s="27"/>
    </row>
    <row r="879" ht="15.75" customHeight="1">
      <c r="J879" s="27"/>
    </row>
    <row r="880" ht="15.75" customHeight="1">
      <c r="J880" s="27"/>
    </row>
    <row r="881" ht="15.75" customHeight="1">
      <c r="J881" s="27"/>
    </row>
    <row r="882" ht="15.75" customHeight="1">
      <c r="J882" s="27"/>
    </row>
    <row r="883" ht="15.75" customHeight="1">
      <c r="J883" s="27"/>
    </row>
    <row r="884" ht="15.75" customHeight="1">
      <c r="J884" s="27"/>
    </row>
    <row r="885" ht="15.75" customHeight="1">
      <c r="J885" s="27"/>
    </row>
    <row r="886" ht="15.75" customHeight="1">
      <c r="J886" s="27"/>
    </row>
    <row r="887" ht="15.75" customHeight="1">
      <c r="J887" s="27"/>
    </row>
    <row r="888" ht="15.75" customHeight="1">
      <c r="J888" s="27"/>
    </row>
    <row r="889" ht="15.75" customHeight="1">
      <c r="J889" s="27"/>
    </row>
    <row r="890" ht="15.75" customHeight="1">
      <c r="J890" s="27"/>
    </row>
    <row r="891" ht="15.75" customHeight="1">
      <c r="J891" s="27"/>
    </row>
    <row r="892" ht="15.75" customHeight="1">
      <c r="J892" s="27"/>
    </row>
    <row r="893" ht="15.75" customHeight="1">
      <c r="J893" s="27"/>
    </row>
    <row r="894" ht="15.75" customHeight="1">
      <c r="J894" s="27"/>
    </row>
    <row r="895" ht="15.75" customHeight="1">
      <c r="J895" s="27"/>
    </row>
    <row r="896" ht="15.75" customHeight="1">
      <c r="J896" s="27"/>
    </row>
    <row r="897" ht="15.75" customHeight="1">
      <c r="J897" s="27"/>
    </row>
    <row r="898" ht="15.75" customHeight="1">
      <c r="J898" s="27"/>
    </row>
    <row r="899" ht="15.75" customHeight="1">
      <c r="J899" s="27"/>
    </row>
    <row r="900" ht="15.75" customHeight="1">
      <c r="J900" s="27"/>
    </row>
    <row r="901" ht="15.75" customHeight="1">
      <c r="J901" s="27"/>
    </row>
    <row r="902" ht="15.75" customHeight="1">
      <c r="J902" s="27"/>
    </row>
    <row r="903" ht="15.75" customHeight="1">
      <c r="J903" s="27"/>
    </row>
    <row r="904" ht="15.75" customHeight="1">
      <c r="J904" s="27"/>
    </row>
    <row r="905" ht="15.75" customHeight="1">
      <c r="J905" s="27"/>
    </row>
    <row r="906" ht="15.75" customHeight="1">
      <c r="J906" s="27"/>
    </row>
    <row r="907" ht="15.75" customHeight="1">
      <c r="J907" s="27"/>
    </row>
    <row r="908" ht="15.75" customHeight="1">
      <c r="J908" s="27"/>
    </row>
    <row r="909" ht="15.75" customHeight="1">
      <c r="J909" s="27"/>
    </row>
    <row r="910" ht="15.75" customHeight="1">
      <c r="J910" s="27"/>
    </row>
    <row r="911" ht="15.75" customHeight="1">
      <c r="J911" s="27"/>
    </row>
    <row r="912" ht="15.75" customHeight="1">
      <c r="J912" s="27"/>
    </row>
    <row r="913" ht="15.75" customHeight="1">
      <c r="J913" s="27"/>
    </row>
    <row r="914" ht="15.75" customHeight="1">
      <c r="J914" s="27"/>
    </row>
    <row r="915" ht="15.75" customHeight="1">
      <c r="J915" s="27"/>
    </row>
    <row r="916" ht="15.75" customHeight="1">
      <c r="J916" s="27"/>
    </row>
    <row r="917" ht="15.75" customHeight="1">
      <c r="J917" s="27"/>
    </row>
    <row r="918" ht="15.75" customHeight="1">
      <c r="J918" s="27"/>
    </row>
    <row r="919" ht="15.75" customHeight="1">
      <c r="J919" s="27"/>
    </row>
    <row r="920" ht="15.75" customHeight="1">
      <c r="J920" s="27"/>
    </row>
    <row r="921" ht="15.75" customHeight="1">
      <c r="J921" s="27"/>
    </row>
    <row r="922" ht="15.75" customHeight="1">
      <c r="J922" s="27"/>
    </row>
    <row r="923" ht="15.75" customHeight="1">
      <c r="J923" s="27"/>
    </row>
    <row r="924" ht="15.75" customHeight="1">
      <c r="J924" s="27"/>
    </row>
    <row r="925" ht="15.75" customHeight="1">
      <c r="J925" s="27"/>
    </row>
    <row r="926" ht="15.75" customHeight="1">
      <c r="J926" s="27"/>
    </row>
    <row r="927" ht="15.75" customHeight="1">
      <c r="J927" s="27"/>
    </row>
    <row r="928" ht="15.75" customHeight="1">
      <c r="J928" s="27"/>
    </row>
    <row r="929" ht="15.75" customHeight="1">
      <c r="J929" s="27"/>
    </row>
    <row r="930" ht="15.75" customHeight="1">
      <c r="J930" s="27"/>
    </row>
    <row r="931" ht="15.75" customHeight="1">
      <c r="J931" s="27"/>
    </row>
    <row r="932" ht="15.75" customHeight="1">
      <c r="J932" s="27"/>
    </row>
    <row r="933" ht="15.75" customHeight="1">
      <c r="J933" s="27"/>
    </row>
    <row r="934" ht="15.75" customHeight="1">
      <c r="J934" s="27"/>
    </row>
    <row r="935" ht="15.75" customHeight="1">
      <c r="J935" s="27"/>
    </row>
    <row r="936" ht="15.75" customHeight="1">
      <c r="J936" s="27"/>
    </row>
    <row r="937" ht="15.75" customHeight="1">
      <c r="J937" s="27"/>
    </row>
    <row r="938" ht="15.75" customHeight="1">
      <c r="J938" s="27"/>
    </row>
    <row r="939" ht="15.75" customHeight="1">
      <c r="J939" s="27"/>
    </row>
    <row r="940" ht="15.75" customHeight="1">
      <c r="J940" s="27"/>
    </row>
    <row r="941" ht="15.75" customHeight="1">
      <c r="J941" s="27"/>
    </row>
    <row r="942" ht="15.75" customHeight="1">
      <c r="J942" s="27"/>
    </row>
    <row r="943" ht="15.75" customHeight="1">
      <c r="J943" s="27"/>
    </row>
    <row r="944" ht="15.75" customHeight="1">
      <c r="J944" s="27"/>
    </row>
    <row r="945" ht="15.75" customHeight="1">
      <c r="J945" s="27"/>
    </row>
    <row r="946" ht="15.75" customHeight="1">
      <c r="J946" s="27"/>
    </row>
    <row r="947" ht="15.75" customHeight="1">
      <c r="J947" s="27"/>
    </row>
    <row r="948" ht="15.75" customHeight="1">
      <c r="J948" s="27"/>
    </row>
    <row r="949" ht="15.75" customHeight="1">
      <c r="J949" s="27"/>
    </row>
    <row r="950" ht="15.75" customHeight="1">
      <c r="J950" s="27"/>
    </row>
    <row r="951" ht="15.75" customHeight="1">
      <c r="J951" s="27"/>
    </row>
    <row r="952" ht="15.75" customHeight="1">
      <c r="J952" s="27"/>
    </row>
    <row r="953" ht="15.75" customHeight="1">
      <c r="J953" s="27"/>
    </row>
    <row r="954" ht="15.75" customHeight="1">
      <c r="J954" s="27"/>
    </row>
    <row r="955" ht="15.75" customHeight="1">
      <c r="J955" s="27"/>
    </row>
    <row r="956" ht="15.75" customHeight="1">
      <c r="J956" s="27"/>
    </row>
    <row r="957" ht="15.75" customHeight="1">
      <c r="J957" s="27"/>
    </row>
    <row r="958" ht="15.75" customHeight="1">
      <c r="J958" s="27"/>
    </row>
    <row r="959" ht="15.75" customHeight="1">
      <c r="J959" s="27"/>
    </row>
    <row r="960" ht="15.75" customHeight="1">
      <c r="J960" s="27"/>
    </row>
    <row r="961" ht="15.75" customHeight="1">
      <c r="J961" s="27"/>
    </row>
    <row r="962" ht="15.75" customHeight="1">
      <c r="J962" s="27"/>
    </row>
    <row r="963" ht="15.75" customHeight="1">
      <c r="J963" s="27"/>
    </row>
    <row r="964" ht="15.75" customHeight="1">
      <c r="J964" s="27"/>
    </row>
    <row r="965" ht="15.75" customHeight="1">
      <c r="J965" s="27"/>
    </row>
    <row r="966" ht="15.75" customHeight="1">
      <c r="J966" s="27"/>
    </row>
    <row r="967" ht="15.75" customHeight="1">
      <c r="J967" s="27"/>
    </row>
    <row r="968" ht="15.75" customHeight="1">
      <c r="J968" s="27"/>
    </row>
    <row r="969" ht="15.75" customHeight="1">
      <c r="J969" s="27"/>
    </row>
    <row r="970" ht="15.75" customHeight="1">
      <c r="J970" s="27"/>
    </row>
    <row r="971" ht="15.75" customHeight="1">
      <c r="J971" s="27"/>
    </row>
    <row r="972" ht="15.75" customHeight="1">
      <c r="J972" s="27"/>
    </row>
    <row r="973" ht="15.75" customHeight="1">
      <c r="J973" s="27"/>
    </row>
    <row r="974" ht="15.75" customHeight="1">
      <c r="J974" s="27"/>
    </row>
    <row r="975" ht="15.75" customHeight="1">
      <c r="J975" s="27"/>
    </row>
    <row r="976" ht="15.75" customHeight="1">
      <c r="J976" s="27"/>
    </row>
    <row r="977" ht="15.75" customHeight="1">
      <c r="J977" s="27"/>
    </row>
    <row r="978" ht="15.75" customHeight="1">
      <c r="J978" s="27"/>
    </row>
    <row r="979" ht="15.75" customHeight="1">
      <c r="J979" s="27"/>
    </row>
    <row r="980" ht="15.75" customHeight="1">
      <c r="J980" s="27"/>
    </row>
    <row r="981" ht="15.75" customHeight="1">
      <c r="J981" s="27"/>
    </row>
    <row r="982" ht="15.75" customHeight="1">
      <c r="J982" s="27"/>
    </row>
    <row r="983" ht="15.75" customHeight="1">
      <c r="J983" s="27"/>
    </row>
    <row r="984" ht="15.75" customHeight="1">
      <c r="J984" s="27"/>
    </row>
    <row r="985" ht="15.75" customHeight="1">
      <c r="J985" s="27"/>
    </row>
    <row r="986" ht="15.75" customHeight="1">
      <c r="J986" s="27"/>
    </row>
    <row r="987" ht="15.75" customHeight="1">
      <c r="J987" s="27"/>
    </row>
    <row r="988" ht="15.75" customHeight="1">
      <c r="J988" s="27"/>
    </row>
    <row r="989" ht="15.75" customHeight="1">
      <c r="J989" s="27"/>
    </row>
    <row r="990" ht="15.75" customHeight="1">
      <c r="J990" s="27"/>
    </row>
    <row r="991" ht="15.75" customHeight="1">
      <c r="J991" s="27"/>
    </row>
    <row r="992" ht="15.75" customHeight="1">
      <c r="J992" s="27"/>
    </row>
    <row r="993" ht="15.75" customHeight="1">
      <c r="J993" s="27"/>
    </row>
    <row r="994" ht="15.75" customHeight="1">
      <c r="J994" s="27"/>
    </row>
    <row r="995" ht="15.75" customHeight="1">
      <c r="J995" s="27"/>
    </row>
    <row r="996" ht="15.75" customHeight="1">
      <c r="J996" s="27"/>
    </row>
    <row r="997" ht="15.75" customHeight="1">
      <c r="J997" s="27"/>
    </row>
    <row r="998" ht="15.75" customHeight="1">
      <c r="J998" s="27"/>
    </row>
    <row r="999" ht="15.75" customHeight="1">
      <c r="J999" s="27"/>
    </row>
    <row r="1000" ht="15.75" customHeight="1">
      <c r="J1000" s="27"/>
    </row>
  </sheetData>
  <dataValidations>
    <dataValidation type="custom" allowBlank="1" showDropDown="1" sqref="A2:A27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7" width="15.38"/>
  </cols>
  <sheetData>
    <row r="1" ht="26.25" customHeight="1">
      <c r="A1" s="29" t="s">
        <v>222</v>
      </c>
      <c r="B1" s="30">
        <v>1.0</v>
      </c>
      <c r="C1" s="31">
        <v>2.0</v>
      </c>
      <c r="D1" s="32">
        <v>3.0</v>
      </c>
      <c r="E1" s="32">
        <v>4.0</v>
      </c>
      <c r="F1" s="32">
        <v>5.0</v>
      </c>
      <c r="G1" s="32">
        <v>6.0</v>
      </c>
      <c r="H1" s="32">
        <v>7.0</v>
      </c>
      <c r="I1" s="32">
        <v>8.0</v>
      </c>
      <c r="J1" s="32">
        <v>9.0</v>
      </c>
      <c r="K1" s="32">
        <v>10.0</v>
      </c>
      <c r="L1" s="32">
        <v>11.0</v>
      </c>
      <c r="M1" s="32">
        <v>12.0</v>
      </c>
      <c r="N1" s="32">
        <v>13.0</v>
      </c>
      <c r="O1" s="32">
        <v>14.0</v>
      </c>
      <c r="P1" s="32">
        <v>15.0</v>
      </c>
      <c r="Q1" s="32">
        <v>16.0</v>
      </c>
      <c r="R1" s="32">
        <v>17.0</v>
      </c>
      <c r="S1" s="32">
        <v>18.0</v>
      </c>
      <c r="T1" s="32">
        <v>19.0</v>
      </c>
      <c r="U1" s="32">
        <v>20.0</v>
      </c>
      <c r="V1" s="32">
        <v>21.0</v>
      </c>
      <c r="W1" s="32">
        <v>22.0</v>
      </c>
      <c r="X1" s="32">
        <v>23.0</v>
      </c>
      <c r="Y1" s="32">
        <v>24.0</v>
      </c>
      <c r="Z1" s="32">
        <v>25.0</v>
      </c>
      <c r="AA1" s="32">
        <v>26.0</v>
      </c>
    </row>
    <row r="2" ht="15.75" customHeight="1">
      <c r="A2" s="33" t="s">
        <v>223</v>
      </c>
      <c r="B2" s="34" t="s">
        <v>224</v>
      </c>
      <c r="C2" s="35" t="s">
        <v>225</v>
      </c>
      <c r="D2" s="36" t="s">
        <v>59</v>
      </c>
      <c r="E2" s="36" t="s">
        <v>59</v>
      </c>
      <c r="F2" s="36" t="s">
        <v>59</v>
      </c>
      <c r="G2" s="36" t="s">
        <v>59</v>
      </c>
      <c r="H2" s="37" t="s">
        <v>59</v>
      </c>
      <c r="I2" s="37" t="s">
        <v>59</v>
      </c>
      <c r="J2" s="37" t="s">
        <v>59</v>
      </c>
      <c r="K2" s="37" t="s">
        <v>226</v>
      </c>
      <c r="L2" s="37" t="s">
        <v>227</v>
      </c>
      <c r="M2" s="38" t="s">
        <v>228</v>
      </c>
      <c r="N2" s="37" t="s">
        <v>227</v>
      </c>
      <c r="O2" s="37" t="s">
        <v>229</v>
      </c>
      <c r="P2" s="37" t="s">
        <v>137</v>
      </c>
      <c r="Q2" s="37" t="s">
        <v>230</v>
      </c>
      <c r="R2" s="38" t="s">
        <v>231</v>
      </c>
      <c r="S2" s="38" t="s">
        <v>232</v>
      </c>
      <c r="T2" s="38" t="s">
        <v>233</v>
      </c>
      <c r="U2" s="37" t="s">
        <v>59</v>
      </c>
      <c r="V2" s="37" t="s">
        <v>59</v>
      </c>
      <c r="W2" s="37" t="s">
        <v>234</v>
      </c>
      <c r="X2" s="39" t="s">
        <v>235</v>
      </c>
      <c r="Y2" s="39" t="s">
        <v>234</v>
      </c>
      <c r="Z2" s="39" t="s">
        <v>236</v>
      </c>
      <c r="AA2" s="39" t="s">
        <v>236</v>
      </c>
    </row>
    <row r="3" ht="15.75" customHeight="1">
      <c r="A3" s="40" t="s">
        <v>237</v>
      </c>
      <c r="B3" s="41" t="s">
        <v>26</v>
      </c>
      <c r="C3" s="42" t="s">
        <v>40</v>
      </c>
      <c r="D3" s="37" t="s">
        <v>238</v>
      </c>
      <c r="E3" s="37" t="s">
        <v>238</v>
      </c>
      <c r="F3" s="37" t="s">
        <v>238</v>
      </c>
      <c r="G3" s="37" t="s">
        <v>238</v>
      </c>
      <c r="H3" s="37" t="s">
        <v>238</v>
      </c>
      <c r="I3" s="37" t="s">
        <v>238</v>
      </c>
      <c r="J3" s="37" t="s">
        <v>238</v>
      </c>
      <c r="K3" s="37" t="s">
        <v>238</v>
      </c>
      <c r="L3" s="37" t="s">
        <v>238</v>
      </c>
      <c r="M3" s="38" t="s">
        <v>238</v>
      </c>
      <c r="N3" s="37" t="s">
        <v>238</v>
      </c>
      <c r="O3" s="37" t="s">
        <v>238</v>
      </c>
      <c r="P3" s="37" t="s">
        <v>238</v>
      </c>
      <c r="Q3" s="37" t="s">
        <v>238</v>
      </c>
      <c r="R3" s="38" t="s">
        <v>238</v>
      </c>
      <c r="S3" s="38" t="s">
        <v>238</v>
      </c>
      <c r="T3" s="38" t="s">
        <v>239</v>
      </c>
      <c r="U3" s="37" t="s">
        <v>240</v>
      </c>
      <c r="V3" s="37" t="s">
        <v>240</v>
      </c>
      <c r="W3" s="37" t="s">
        <v>238</v>
      </c>
      <c r="X3" s="39" t="s">
        <v>241</v>
      </c>
      <c r="Y3" s="39" t="s">
        <v>240</v>
      </c>
      <c r="Z3" s="39" t="s">
        <v>241</v>
      </c>
      <c r="AA3" s="39" t="s">
        <v>241</v>
      </c>
    </row>
    <row r="4" ht="15.75" customHeight="1">
      <c r="A4" s="40" t="s">
        <v>242</v>
      </c>
      <c r="B4" s="41">
        <v>1.0</v>
      </c>
      <c r="C4" s="42" t="s">
        <v>243</v>
      </c>
      <c r="D4" s="37">
        <v>2.0</v>
      </c>
      <c r="E4" s="37">
        <v>5.0</v>
      </c>
      <c r="F4" s="37" t="s">
        <v>243</v>
      </c>
      <c r="G4" s="37">
        <v>8.0</v>
      </c>
      <c r="H4" s="37">
        <v>1.0</v>
      </c>
      <c r="I4" s="37">
        <v>6.0</v>
      </c>
      <c r="J4" s="37" t="s">
        <v>243</v>
      </c>
      <c r="K4" s="37">
        <v>25.0</v>
      </c>
      <c r="L4" s="43">
        <v>45047.0</v>
      </c>
      <c r="M4" s="38" t="s">
        <v>243</v>
      </c>
      <c r="N4" s="37">
        <v>1.0</v>
      </c>
      <c r="O4" s="37" t="s">
        <v>243</v>
      </c>
      <c r="P4" s="37">
        <v>1.0</v>
      </c>
      <c r="Q4" s="37">
        <v>1.0</v>
      </c>
      <c r="R4" s="38" t="s">
        <v>243</v>
      </c>
      <c r="S4" s="38">
        <v>1.0</v>
      </c>
      <c r="T4" s="44">
        <v>45047.0</v>
      </c>
      <c r="U4" s="37" t="s">
        <v>243</v>
      </c>
      <c r="V4" s="37">
        <v>1.0</v>
      </c>
      <c r="W4" s="37">
        <v>1.0</v>
      </c>
      <c r="X4" s="39" t="s">
        <v>243</v>
      </c>
      <c r="Y4" s="39">
        <v>1.0</v>
      </c>
      <c r="Z4" s="39">
        <v>1.0</v>
      </c>
      <c r="AA4" s="39">
        <v>1.0</v>
      </c>
    </row>
    <row r="5" ht="15.75" customHeight="1">
      <c r="A5" s="40" t="s">
        <v>244</v>
      </c>
      <c r="B5" s="41" t="s">
        <v>27</v>
      </c>
      <c r="C5" s="42" t="s">
        <v>245</v>
      </c>
      <c r="D5" s="37" t="s">
        <v>246</v>
      </c>
      <c r="E5" s="37" t="s">
        <v>246</v>
      </c>
      <c r="F5" s="37" t="s">
        <v>246</v>
      </c>
      <c r="G5" s="37" t="s">
        <v>246</v>
      </c>
      <c r="H5" s="37" t="s">
        <v>246</v>
      </c>
      <c r="I5" s="37" t="s">
        <v>246</v>
      </c>
      <c r="J5" s="37" t="s">
        <v>246</v>
      </c>
      <c r="K5" s="37" t="s">
        <v>100</v>
      </c>
      <c r="L5" s="37" t="s">
        <v>108</v>
      </c>
      <c r="M5" s="38" t="s">
        <v>246</v>
      </c>
      <c r="N5" s="37" t="s">
        <v>122</v>
      </c>
      <c r="O5" s="37" t="s">
        <v>130</v>
      </c>
      <c r="P5" s="37" t="s">
        <v>247</v>
      </c>
      <c r="Q5" s="37" t="s">
        <v>246</v>
      </c>
      <c r="R5" s="38" t="s">
        <v>246</v>
      </c>
      <c r="S5" s="38" t="s">
        <v>246</v>
      </c>
      <c r="T5" s="38" t="s">
        <v>248</v>
      </c>
      <c r="U5" s="37" t="s">
        <v>246</v>
      </c>
      <c r="V5" s="37" t="s">
        <v>246</v>
      </c>
      <c r="W5" s="37" t="s">
        <v>249</v>
      </c>
      <c r="X5" s="39" t="s">
        <v>195</v>
      </c>
      <c r="Y5" s="39" t="s">
        <v>205</v>
      </c>
      <c r="Z5" s="39" t="s">
        <v>212</v>
      </c>
      <c r="AA5" s="39" t="s">
        <v>212</v>
      </c>
    </row>
    <row r="6" ht="15.75" customHeight="1">
      <c r="A6" s="40" t="s">
        <v>250</v>
      </c>
      <c r="B6" s="41" t="s">
        <v>251</v>
      </c>
      <c r="C6" s="42" t="s">
        <v>252</v>
      </c>
      <c r="D6" s="37">
        <v>80.0</v>
      </c>
      <c r="E6" s="37">
        <v>78.0</v>
      </c>
      <c r="F6" s="37">
        <v>37.0</v>
      </c>
      <c r="G6" s="37">
        <v>80.0</v>
      </c>
      <c r="H6" s="37">
        <v>83.0</v>
      </c>
      <c r="I6" s="37">
        <v>74.0</v>
      </c>
      <c r="J6" s="37">
        <v>22.0</v>
      </c>
      <c r="K6" s="37">
        <v>80.0</v>
      </c>
      <c r="L6" s="37">
        <v>85.0</v>
      </c>
      <c r="M6" s="38">
        <v>90.0</v>
      </c>
      <c r="N6" s="37">
        <v>65.0</v>
      </c>
      <c r="O6" s="37">
        <v>75.0</v>
      </c>
      <c r="P6" s="37">
        <v>95.0</v>
      </c>
      <c r="Q6" s="37">
        <v>60.0</v>
      </c>
      <c r="R6" s="38">
        <v>78.0</v>
      </c>
      <c r="S6" s="38">
        <v>70.0</v>
      </c>
      <c r="T6" s="38">
        <v>50.0</v>
      </c>
      <c r="U6" s="37">
        <v>37.0</v>
      </c>
      <c r="V6" s="37">
        <v>83.0</v>
      </c>
      <c r="W6" s="37">
        <v>98.0</v>
      </c>
      <c r="X6" s="39">
        <v>150.0</v>
      </c>
      <c r="Y6" s="39" t="s">
        <v>246</v>
      </c>
      <c r="Z6" s="39">
        <v>190.0</v>
      </c>
      <c r="AA6" s="39">
        <v>190.0</v>
      </c>
    </row>
    <row r="7" ht="15.75" customHeight="1">
      <c r="A7" s="45" t="s">
        <v>253</v>
      </c>
      <c r="B7" s="46"/>
      <c r="C7" s="47" t="s">
        <v>254</v>
      </c>
      <c r="D7" s="48" t="s">
        <v>255</v>
      </c>
      <c r="E7" s="48" t="s">
        <v>256</v>
      </c>
      <c r="F7" s="48" t="s">
        <v>70</v>
      </c>
      <c r="G7" s="48" t="s">
        <v>257</v>
      </c>
      <c r="H7" s="48" t="s">
        <v>258</v>
      </c>
      <c r="I7" s="48" t="s">
        <v>259</v>
      </c>
      <c r="J7" s="48" t="s">
        <v>260</v>
      </c>
      <c r="K7" s="48" t="s">
        <v>261</v>
      </c>
      <c r="L7" s="48" t="s">
        <v>256</v>
      </c>
      <c r="M7" s="49" t="s">
        <v>262</v>
      </c>
      <c r="N7" s="48" t="s">
        <v>263</v>
      </c>
      <c r="O7" s="48" t="s">
        <v>264</v>
      </c>
      <c r="P7" s="48" t="s">
        <v>265</v>
      </c>
      <c r="Q7" s="48" t="s">
        <v>266</v>
      </c>
      <c r="R7" s="49" t="s">
        <v>267</v>
      </c>
      <c r="S7" s="49" t="s">
        <v>268</v>
      </c>
      <c r="T7" s="49" t="s">
        <v>269</v>
      </c>
      <c r="U7" s="48" t="s">
        <v>270</v>
      </c>
      <c r="V7" s="48" t="s">
        <v>271</v>
      </c>
      <c r="W7" s="48" t="s">
        <v>272</v>
      </c>
      <c r="X7" s="50" t="s">
        <v>273</v>
      </c>
      <c r="Y7" s="50" t="s">
        <v>274</v>
      </c>
      <c r="Z7" s="50" t="s">
        <v>213</v>
      </c>
      <c r="AA7" s="50" t="s">
        <v>213</v>
      </c>
    </row>
    <row r="8" ht="49.5" customHeight="1">
      <c r="A8" s="51"/>
      <c r="B8" s="41" t="s">
        <v>275</v>
      </c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2"/>
      <c r="Y8" s="52"/>
      <c r="Z8" s="52"/>
      <c r="AA8" s="52"/>
    </row>
    <row r="9" ht="15.75" customHeight="1">
      <c r="A9" s="45" t="s">
        <v>276</v>
      </c>
      <c r="B9" s="47">
        <f>AVERAGE(5,8)</f>
        <v>6.5</v>
      </c>
      <c r="C9" s="47">
        <v>3.0</v>
      </c>
      <c r="D9" s="48">
        <v>2.0</v>
      </c>
      <c r="E9" s="48" t="s">
        <v>277</v>
      </c>
      <c r="F9" s="48" t="s">
        <v>278</v>
      </c>
      <c r="G9" s="48">
        <v>2.0</v>
      </c>
      <c r="H9" s="48">
        <v>2.0</v>
      </c>
      <c r="I9" s="48">
        <v>2.0</v>
      </c>
      <c r="J9" s="48">
        <v>1.0</v>
      </c>
      <c r="K9" s="48" t="s">
        <v>251</v>
      </c>
      <c r="L9" s="48">
        <v>2.0</v>
      </c>
      <c r="M9" s="49">
        <v>3.0</v>
      </c>
      <c r="N9" s="48">
        <v>2.0</v>
      </c>
      <c r="O9" s="48">
        <v>2.0</v>
      </c>
      <c r="P9" s="48">
        <v>1.0</v>
      </c>
      <c r="Q9" s="48">
        <v>3.0</v>
      </c>
      <c r="R9" s="49">
        <v>2.0</v>
      </c>
      <c r="S9" s="49">
        <v>2.0</v>
      </c>
      <c r="T9" s="49">
        <v>1.0</v>
      </c>
      <c r="U9" s="54">
        <v>45047.0</v>
      </c>
      <c r="V9" s="48">
        <v>2.0</v>
      </c>
      <c r="W9" s="48">
        <v>2.0</v>
      </c>
      <c r="X9" s="50">
        <v>3.0</v>
      </c>
      <c r="Y9" s="50">
        <v>1.0</v>
      </c>
      <c r="Z9" s="50">
        <v>3.0</v>
      </c>
      <c r="AA9" s="50">
        <v>3.0</v>
      </c>
    </row>
    <row r="10" ht="42.75" customHeight="1">
      <c r="A10" s="51"/>
      <c r="B10" s="52"/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2"/>
      <c r="Y10" s="52"/>
      <c r="Z10" s="52"/>
      <c r="AA10" s="52"/>
    </row>
    <row r="11" ht="57.75" customHeight="1">
      <c r="A11" s="40" t="s">
        <v>279</v>
      </c>
      <c r="B11" s="55" t="s">
        <v>280</v>
      </c>
      <c r="C11" s="42"/>
      <c r="D11" s="37" t="s">
        <v>281</v>
      </c>
      <c r="E11" s="37" t="s">
        <v>64</v>
      </c>
      <c r="F11" s="37" t="s">
        <v>282</v>
      </c>
      <c r="G11" s="37" t="s">
        <v>283</v>
      </c>
      <c r="H11" s="37" t="s">
        <v>284</v>
      </c>
      <c r="I11" s="43">
        <v>45049.0</v>
      </c>
      <c r="J11" s="37" t="s">
        <v>284</v>
      </c>
      <c r="K11" s="37" t="s">
        <v>51</v>
      </c>
      <c r="L11" s="37" t="s">
        <v>285</v>
      </c>
      <c r="M11" s="38" t="s">
        <v>286</v>
      </c>
      <c r="N11" s="37" t="s">
        <v>287</v>
      </c>
      <c r="O11" s="37" t="s">
        <v>288</v>
      </c>
      <c r="P11" s="37" t="s">
        <v>112</v>
      </c>
      <c r="Q11" s="37" t="s">
        <v>289</v>
      </c>
      <c r="R11" s="38" t="s">
        <v>155</v>
      </c>
      <c r="S11" s="38" t="s">
        <v>112</v>
      </c>
      <c r="T11" s="38" t="s">
        <v>290</v>
      </c>
      <c r="U11" s="37" t="s">
        <v>178</v>
      </c>
      <c r="V11" s="37" t="s">
        <v>291</v>
      </c>
      <c r="W11" s="37" t="s">
        <v>51</v>
      </c>
      <c r="X11" s="39" t="s">
        <v>292</v>
      </c>
      <c r="Y11" s="39" t="s">
        <v>293</v>
      </c>
      <c r="Z11" s="39" t="s">
        <v>51</v>
      </c>
      <c r="AA11" s="39" t="s">
        <v>51</v>
      </c>
    </row>
    <row r="12" ht="42.0" customHeight="1">
      <c r="A12" s="40" t="s">
        <v>294</v>
      </c>
      <c r="B12" s="41" t="s">
        <v>56</v>
      </c>
      <c r="C12" s="42" t="s">
        <v>246</v>
      </c>
      <c r="D12" s="37" t="s">
        <v>56</v>
      </c>
      <c r="E12" s="37" t="s">
        <v>56</v>
      </c>
      <c r="F12" s="37" t="s">
        <v>56</v>
      </c>
      <c r="G12" s="37" t="s">
        <v>56</v>
      </c>
      <c r="H12" s="37" t="s">
        <v>56</v>
      </c>
      <c r="I12" s="37" t="s">
        <v>295</v>
      </c>
      <c r="J12" s="37" t="s">
        <v>56</v>
      </c>
      <c r="K12" s="37" t="s">
        <v>285</v>
      </c>
      <c r="L12" s="37" t="s">
        <v>113</v>
      </c>
      <c r="M12" s="38" t="s">
        <v>286</v>
      </c>
      <c r="N12" s="37" t="s">
        <v>296</v>
      </c>
      <c r="O12" s="37" t="s">
        <v>56</v>
      </c>
      <c r="P12" s="37" t="s">
        <v>112</v>
      </c>
      <c r="Q12" s="37" t="s">
        <v>56</v>
      </c>
      <c r="R12" s="38" t="s">
        <v>156</v>
      </c>
      <c r="S12" s="38" t="s">
        <v>162</v>
      </c>
      <c r="T12" s="38" t="s">
        <v>56</v>
      </c>
      <c r="U12" s="37" t="s">
        <v>56</v>
      </c>
      <c r="V12" s="37" t="s">
        <v>56</v>
      </c>
      <c r="W12" s="37" t="s">
        <v>297</v>
      </c>
      <c r="X12" s="39" t="s">
        <v>56</v>
      </c>
      <c r="Y12" s="39" t="s">
        <v>56</v>
      </c>
      <c r="Z12" s="39" t="s">
        <v>298</v>
      </c>
      <c r="AA12" s="39" t="s">
        <v>298</v>
      </c>
    </row>
    <row r="13" ht="42.0" customHeight="1">
      <c r="A13" s="56" t="s">
        <v>299</v>
      </c>
      <c r="B13" s="57">
        <v>4.0</v>
      </c>
      <c r="C13" s="47">
        <v>3.0</v>
      </c>
      <c r="D13" s="48">
        <v>4.0</v>
      </c>
      <c r="E13" s="54">
        <v>45050.0</v>
      </c>
      <c r="F13" s="54">
        <v>45049.0</v>
      </c>
      <c r="G13" s="54">
        <v>45051.0</v>
      </c>
      <c r="H13" s="54">
        <v>45049.0</v>
      </c>
      <c r="I13" s="48">
        <v>6.0</v>
      </c>
      <c r="J13" s="48">
        <v>3.0</v>
      </c>
      <c r="K13" s="48" t="s">
        <v>251</v>
      </c>
      <c r="L13" s="48">
        <v>1.0</v>
      </c>
      <c r="M13" s="49">
        <v>1.0</v>
      </c>
      <c r="N13" s="48">
        <v>1.0</v>
      </c>
      <c r="O13" s="48">
        <v>2.0</v>
      </c>
      <c r="P13" s="48">
        <v>1.0</v>
      </c>
      <c r="Q13" s="48">
        <v>3.0</v>
      </c>
      <c r="R13" s="49">
        <v>3.0</v>
      </c>
      <c r="S13" s="49">
        <v>2.0</v>
      </c>
      <c r="T13" s="49" t="s">
        <v>251</v>
      </c>
      <c r="U13" s="48">
        <v>1.0</v>
      </c>
      <c r="V13" s="54">
        <v>45049.0</v>
      </c>
      <c r="W13" s="48">
        <v>3.0</v>
      </c>
      <c r="X13" s="50">
        <v>4.0</v>
      </c>
      <c r="Y13" s="50">
        <v>3.0</v>
      </c>
      <c r="Z13" s="50">
        <v>1.0</v>
      </c>
      <c r="AA13" s="50">
        <v>1.0</v>
      </c>
    </row>
    <row r="14" ht="21.75" customHeight="1">
      <c r="A14" s="52"/>
      <c r="B14" s="52"/>
      <c r="C14" s="52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2"/>
      <c r="Y14" s="52"/>
      <c r="Z14" s="52"/>
      <c r="AA14" s="52"/>
    </row>
    <row r="15" ht="37.5" customHeight="1">
      <c r="A15" s="40" t="s">
        <v>300</v>
      </c>
      <c r="B15" s="46"/>
      <c r="C15" s="42">
        <v>18.0</v>
      </c>
      <c r="D15" s="38">
        <v>19.0</v>
      </c>
      <c r="E15" s="38">
        <v>18.0</v>
      </c>
      <c r="F15" s="38">
        <v>21.0</v>
      </c>
      <c r="G15" s="38">
        <v>18.0</v>
      </c>
      <c r="H15" s="38">
        <v>17.0</v>
      </c>
      <c r="I15" s="38">
        <v>17.0</v>
      </c>
      <c r="J15" s="38">
        <v>19.0</v>
      </c>
      <c r="K15" s="38">
        <v>16.0</v>
      </c>
      <c r="L15" s="38">
        <v>19.0</v>
      </c>
      <c r="M15" s="38">
        <v>18.0</v>
      </c>
      <c r="N15" s="38">
        <v>19.0</v>
      </c>
      <c r="O15" s="38">
        <v>20.0</v>
      </c>
      <c r="P15" s="38">
        <v>13.0</v>
      </c>
      <c r="Q15" s="38">
        <v>20.0</v>
      </c>
      <c r="R15" s="38">
        <v>15.0</v>
      </c>
      <c r="S15" s="38">
        <v>17.0</v>
      </c>
      <c r="T15" s="38">
        <v>21.0</v>
      </c>
      <c r="U15" s="38">
        <v>16.0</v>
      </c>
      <c r="V15" s="38">
        <v>17.0</v>
      </c>
      <c r="W15" s="38">
        <v>16.0</v>
      </c>
      <c r="X15" s="35">
        <v>17.0</v>
      </c>
      <c r="Y15" s="35">
        <v>18.0</v>
      </c>
      <c r="Z15" s="35">
        <v>6.0</v>
      </c>
      <c r="AA15" s="35">
        <v>6.0</v>
      </c>
    </row>
    <row r="16" ht="33.0" customHeight="1">
      <c r="A16" s="40" t="s">
        <v>301</v>
      </c>
      <c r="B16" s="58"/>
      <c r="C16" s="42">
        <v>36.0</v>
      </c>
      <c r="D16" s="38">
        <v>37.0</v>
      </c>
      <c r="E16" s="38">
        <v>37.0</v>
      </c>
      <c r="F16" s="38">
        <v>40.0</v>
      </c>
      <c r="G16" s="38">
        <v>35.0</v>
      </c>
      <c r="H16" s="38">
        <v>38.0</v>
      </c>
      <c r="I16" s="38">
        <v>36.0</v>
      </c>
      <c r="J16" s="38">
        <v>37.0</v>
      </c>
      <c r="K16" s="59">
        <v>30.0</v>
      </c>
      <c r="L16" s="38">
        <v>30.0</v>
      </c>
      <c r="M16" s="38">
        <v>32.0</v>
      </c>
      <c r="N16" s="38">
        <v>34.0</v>
      </c>
      <c r="O16" s="38">
        <v>32.0</v>
      </c>
      <c r="P16" s="38">
        <v>16.0</v>
      </c>
      <c r="Q16" s="38">
        <v>32.0</v>
      </c>
      <c r="R16" s="38">
        <v>25.0</v>
      </c>
      <c r="S16" s="38">
        <v>26.0</v>
      </c>
      <c r="T16" s="38">
        <v>36.0</v>
      </c>
      <c r="U16" s="38">
        <v>37.0</v>
      </c>
      <c r="V16" s="38">
        <v>36.0</v>
      </c>
      <c r="W16" s="38">
        <v>38.0</v>
      </c>
      <c r="X16" s="35">
        <v>27.0</v>
      </c>
      <c r="Y16" s="35">
        <v>24.0</v>
      </c>
      <c r="Z16" s="35">
        <v>15.0</v>
      </c>
      <c r="AA16" s="35">
        <v>15.0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mergeCells count="80">
    <mergeCell ref="H9:H10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F9:F10"/>
    <mergeCell ref="G9:G10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X13:X14"/>
    <mergeCell ref="Y13:Y14"/>
    <mergeCell ref="Q13:Q14"/>
    <mergeCell ref="R13:R14"/>
    <mergeCell ref="S13:S14"/>
    <mergeCell ref="T13:T14"/>
    <mergeCell ref="U13:U14"/>
    <mergeCell ref="V13:V14"/>
    <mergeCell ref="W13:W14"/>
    <mergeCell ref="I7:I8"/>
    <mergeCell ref="J7:J8"/>
    <mergeCell ref="K7:K8"/>
    <mergeCell ref="L7:L8"/>
    <mergeCell ref="M7:M8"/>
    <mergeCell ref="N7:N8"/>
    <mergeCell ref="O7:O8"/>
    <mergeCell ref="W7:W8"/>
    <mergeCell ref="X7:X8"/>
    <mergeCell ref="Y7:Y8"/>
    <mergeCell ref="Z7:Z8"/>
    <mergeCell ref="AA7:AA8"/>
    <mergeCell ref="P7:P8"/>
    <mergeCell ref="Q7:Q8"/>
    <mergeCell ref="R7:R8"/>
    <mergeCell ref="S7:S8"/>
    <mergeCell ref="T7:T8"/>
    <mergeCell ref="U7:U8"/>
    <mergeCell ref="V7:V8"/>
    <mergeCell ref="A7:A8"/>
    <mergeCell ref="C7:C8"/>
    <mergeCell ref="D7:D8"/>
    <mergeCell ref="E7:E8"/>
    <mergeCell ref="F7:F8"/>
    <mergeCell ref="G7:G8"/>
    <mergeCell ref="H7:H8"/>
    <mergeCell ref="V9:V10"/>
    <mergeCell ref="W9:W10"/>
    <mergeCell ref="X9:X10"/>
    <mergeCell ref="Y9:Y10"/>
    <mergeCell ref="Z9:Z10"/>
    <mergeCell ref="AA9:AA10"/>
    <mergeCell ref="Z13:Z14"/>
    <mergeCell ref="AA13:AA14"/>
    <mergeCell ref="O9:O10"/>
    <mergeCell ref="P9:P10"/>
    <mergeCell ref="Q9:Q10"/>
    <mergeCell ref="R9:R10"/>
    <mergeCell ref="S9:S10"/>
    <mergeCell ref="T9:T10"/>
    <mergeCell ref="U9:U10"/>
    <mergeCell ref="A13:A14"/>
    <mergeCell ref="B13:B14"/>
    <mergeCell ref="C13:C14"/>
    <mergeCell ref="D13:D14"/>
    <mergeCell ref="E13:E14"/>
    <mergeCell ref="F13:F14"/>
    <mergeCell ref="G13:G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4.0"/>
    <col customWidth="1" min="3" max="3" width="18.5"/>
    <col customWidth="1" min="4" max="10" width="24.0"/>
    <col customWidth="1" min="11" max="11" width="23.75"/>
    <col customWidth="1" min="12" max="12" width="27.25"/>
    <col customWidth="1" min="13" max="13" width="24.88"/>
    <col customWidth="1" min="14" max="14" width="24.0"/>
    <col customWidth="1" min="15" max="15" width="23.75"/>
    <col customWidth="1" min="16" max="16" width="175.5"/>
  </cols>
  <sheetData>
    <row r="1" ht="15.75" customHeight="1">
      <c r="A1" s="60" t="s">
        <v>302</v>
      </c>
      <c r="B1" s="60" t="s">
        <v>303</v>
      </c>
      <c r="C1" s="60" t="s">
        <v>304</v>
      </c>
      <c r="D1" s="60" t="s">
        <v>305</v>
      </c>
      <c r="E1" s="60" t="s">
        <v>306</v>
      </c>
      <c r="F1" s="60" t="s">
        <v>307</v>
      </c>
      <c r="G1" s="60" t="s">
        <v>308</v>
      </c>
      <c r="H1" s="61" t="s">
        <v>309</v>
      </c>
      <c r="I1" s="60" t="s">
        <v>310</v>
      </c>
      <c r="J1" s="60" t="s">
        <v>311</v>
      </c>
      <c r="K1" s="60" t="s">
        <v>312</v>
      </c>
      <c r="L1" s="60" t="s">
        <v>313</v>
      </c>
      <c r="M1" s="60" t="s">
        <v>314</v>
      </c>
      <c r="N1" s="60" t="s">
        <v>315</v>
      </c>
      <c r="O1" s="60" t="s">
        <v>316</v>
      </c>
      <c r="P1" s="62" t="s">
        <v>24</v>
      </c>
    </row>
    <row r="2">
      <c r="H2" s="63"/>
    </row>
    <row r="3" ht="24.75" customHeight="1">
      <c r="H3" s="64"/>
    </row>
    <row r="4" ht="15.0" customHeight="1">
      <c r="A4" s="65" t="s">
        <v>39</v>
      </c>
      <c r="B4" s="65" t="s">
        <v>40</v>
      </c>
      <c r="C4" s="65" t="s">
        <v>34</v>
      </c>
      <c r="D4" s="65" t="s">
        <v>36</v>
      </c>
      <c r="E4" s="65" t="s">
        <v>37</v>
      </c>
      <c r="F4" s="65" t="s">
        <v>35</v>
      </c>
      <c r="G4" s="65" t="s">
        <v>35</v>
      </c>
      <c r="H4" s="65" t="s">
        <v>35</v>
      </c>
      <c r="I4" s="65" t="s">
        <v>37</v>
      </c>
      <c r="J4" s="65" t="s">
        <v>35</v>
      </c>
      <c r="K4" s="65" t="s">
        <v>36</v>
      </c>
      <c r="L4" s="65" t="s">
        <v>36</v>
      </c>
      <c r="M4" s="65" t="s">
        <v>35</v>
      </c>
      <c r="N4" s="65" t="s">
        <v>35</v>
      </c>
      <c r="O4" s="65" t="s">
        <v>35</v>
      </c>
      <c r="P4" s="65" t="s">
        <v>49</v>
      </c>
    </row>
    <row r="5" ht="15.75" customHeight="1">
      <c r="A5" s="66" t="s">
        <v>50</v>
      </c>
      <c r="B5" s="66" t="s">
        <v>40</v>
      </c>
      <c r="C5" s="66" t="s">
        <v>34</v>
      </c>
      <c r="D5" s="66" t="s">
        <v>35</v>
      </c>
      <c r="E5" s="66" t="s">
        <v>36</v>
      </c>
      <c r="F5" s="66" t="s">
        <v>36</v>
      </c>
      <c r="G5" s="66" t="s">
        <v>35</v>
      </c>
      <c r="H5" s="66" t="s">
        <v>35</v>
      </c>
      <c r="I5" s="66" t="s">
        <v>35</v>
      </c>
      <c r="J5" s="66" t="s">
        <v>35</v>
      </c>
      <c r="K5" s="66" t="s">
        <v>35</v>
      </c>
      <c r="L5" s="66" t="s">
        <v>37</v>
      </c>
      <c r="M5" s="66" t="s">
        <v>35</v>
      </c>
      <c r="N5" s="66" t="s">
        <v>36</v>
      </c>
      <c r="O5" s="66" t="s">
        <v>35</v>
      </c>
      <c r="P5" s="66" t="s">
        <v>58</v>
      </c>
    </row>
    <row r="6" ht="15.75" customHeight="1">
      <c r="A6" s="66" t="s">
        <v>59</v>
      </c>
      <c r="B6" s="66" t="s">
        <v>40</v>
      </c>
      <c r="C6" s="66" t="s">
        <v>34</v>
      </c>
      <c r="D6" s="66" t="s">
        <v>35</v>
      </c>
      <c r="E6" s="66" t="s">
        <v>36</v>
      </c>
      <c r="F6" s="66" t="s">
        <v>37</v>
      </c>
      <c r="G6" s="66" t="s">
        <v>35</v>
      </c>
      <c r="H6" s="66" t="s">
        <v>35</v>
      </c>
      <c r="I6" s="66" t="s">
        <v>35</v>
      </c>
      <c r="J6" s="66" t="s">
        <v>36</v>
      </c>
      <c r="K6" s="66" t="s">
        <v>35</v>
      </c>
      <c r="L6" s="66" t="s">
        <v>36</v>
      </c>
      <c r="M6" s="66" t="s">
        <v>35</v>
      </c>
      <c r="N6" s="66" t="s">
        <v>36</v>
      </c>
      <c r="O6" s="66" t="s">
        <v>35</v>
      </c>
      <c r="P6" s="66"/>
    </row>
    <row r="7" ht="15.75" customHeight="1">
      <c r="A7" s="66" t="s">
        <v>67</v>
      </c>
      <c r="B7" s="66" t="s">
        <v>40</v>
      </c>
      <c r="C7" s="66" t="s">
        <v>34</v>
      </c>
      <c r="D7" s="66" t="s">
        <v>35</v>
      </c>
      <c r="E7" s="66" t="s">
        <v>35</v>
      </c>
      <c r="F7" s="66" t="s">
        <v>35</v>
      </c>
      <c r="G7" s="66" t="s">
        <v>35</v>
      </c>
      <c r="H7" s="66" t="s">
        <v>35</v>
      </c>
      <c r="I7" s="66" t="s">
        <v>35</v>
      </c>
      <c r="J7" s="66" t="s">
        <v>35</v>
      </c>
      <c r="K7" s="66" t="s">
        <v>35</v>
      </c>
      <c r="L7" s="66" t="s">
        <v>35</v>
      </c>
      <c r="M7" s="66" t="s">
        <v>35</v>
      </c>
      <c r="N7" s="66" t="s">
        <v>35</v>
      </c>
      <c r="O7" s="66" t="s">
        <v>35</v>
      </c>
      <c r="P7" s="66"/>
    </row>
    <row r="8" ht="15.75" customHeight="1">
      <c r="A8" s="66" t="s">
        <v>59</v>
      </c>
      <c r="B8" s="66" t="s">
        <v>40</v>
      </c>
      <c r="C8" s="66" t="s">
        <v>34</v>
      </c>
      <c r="D8" s="66" t="s">
        <v>35</v>
      </c>
      <c r="E8" s="66" t="s">
        <v>36</v>
      </c>
      <c r="F8" s="66" t="s">
        <v>37</v>
      </c>
      <c r="G8" s="66" t="s">
        <v>35</v>
      </c>
      <c r="H8" s="66" t="s">
        <v>35</v>
      </c>
      <c r="I8" s="66" t="s">
        <v>35</v>
      </c>
      <c r="J8" s="66" t="s">
        <v>35</v>
      </c>
      <c r="K8" s="66" t="s">
        <v>35</v>
      </c>
      <c r="L8" s="66" t="s">
        <v>37</v>
      </c>
      <c r="M8" s="66" t="s">
        <v>36</v>
      </c>
      <c r="N8" s="66" t="s">
        <v>37</v>
      </c>
      <c r="O8" s="66" t="s">
        <v>35</v>
      </c>
      <c r="P8" s="66"/>
    </row>
    <row r="9" ht="15.75" customHeight="1">
      <c r="A9" s="66" t="s">
        <v>67</v>
      </c>
      <c r="B9" s="66" t="s">
        <v>40</v>
      </c>
      <c r="C9" s="66" t="s">
        <v>34</v>
      </c>
      <c r="D9" s="66" t="s">
        <v>35</v>
      </c>
      <c r="E9" s="66" t="s">
        <v>37</v>
      </c>
      <c r="F9" s="66" t="s">
        <v>37</v>
      </c>
      <c r="G9" s="66" t="s">
        <v>35</v>
      </c>
      <c r="H9" s="66" t="s">
        <v>35</v>
      </c>
      <c r="I9" s="66" t="s">
        <v>35</v>
      </c>
      <c r="J9" s="66" t="s">
        <v>35</v>
      </c>
      <c r="K9" s="66" t="s">
        <v>35</v>
      </c>
      <c r="L9" s="66" t="s">
        <v>37</v>
      </c>
      <c r="M9" s="66" t="s">
        <v>35</v>
      </c>
      <c r="N9" s="66" t="s">
        <v>35</v>
      </c>
      <c r="O9" s="66" t="s">
        <v>35</v>
      </c>
      <c r="P9" s="66" t="s">
        <v>86</v>
      </c>
    </row>
    <row r="10" ht="15.75" customHeight="1">
      <c r="A10" s="66" t="s">
        <v>67</v>
      </c>
      <c r="B10" s="66" t="s">
        <v>40</v>
      </c>
      <c r="C10" s="66" t="s">
        <v>34</v>
      </c>
      <c r="D10" s="66" t="s">
        <v>35</v>
      </c>
      <c r="E10" s="66" t="s">
        <v>36</v>
      </c>
      <c r="F10" s="66" t="s">
        <v>37</v>
      </c>
      <c r="G10" s="66" t="s">
        <v>36</v>
      </c>
      <c r="H10" s="66" t="s">
        <v>35</v>
      </c>
      <c r="I10" s="66" t="s">
        <v>35</v>
      </c>
      <c r="J10" s="66" t="s">
        <v>36</v>
      </c>
      <c r="K10" s="66" t="s">
        <v>35</v>
      </c>
      <c r="L10" s="66" t="s">
        <v>36</v>
      </c>
      <c r="M10" s="66" t="s">
        <v>35</v>
      </c>
      <c r="N10" s="66" t="s">
        <v>37</v>
      </c>
      <c r="O10" s="66" t="s">
        <v>35</v>
      </c>
      <c r="P10" s="66"/>
    </row>
    <row r="11" ht="15.75" customHeight="1">
      <c r="A11" s="66" t="s">
        <v>67</v>
      </c>
      <c r="B11" s="66" t="s">
        <v>40</v>
      </c>
      <c r="C11" s="66" t="s">
        <v>34</v>
      </c>
      <c r="D11" s="66" t="s">
        <v>35</v>
      </c>
      <c r="E11" s="66" t="s">
        <v>36</v>
      </c>
      <c r="F11" s="66" t="s">
        <v>36</v>
      </c>
      <c r="G11" s="66" t="s">
        <v>35</v>
      </c>
      <c r="H11" s="66" t="s">
        <v>35</v>
      </c>
      <c r="I11" s="66" t="s">
        <v>35</v>
      </c>
      <c r="J11" s="66" t="s">
        <v>35</v>
      </c>
      <c r="K11" s="66" t="s">
        <v>35</v>
      </c>
      <c r="L11" s="66" t="s">
        <v>37</v>
      </c>
      <c r="M11" s="66" t="s">
        <v>36</v>
      </c>
      <c r="N11" s="66" t="s">
        <v>35</v>
      </c>
      <c r="O11" s="66" t="s">
        <v>35</v>
      </c>
      <c r="P11" s="66"/>
    </row>
    <row r="12" ht="15.75" customHeight="1">
      <c r="A12" s="67" t="s">
        <v>99</v>
      </c>
      <c r="B12" s="67" t="s">
        <v>40</v>
      </c>
      <c r="C12" s="67" t="s">
        <v>34</v>
      </c>
      <c r="D12" s="67" t="s">
        <v>37</v>
      </c>
      <c r="E12" s="67" t="s">
        <v>36</v>
      </c>
      <c r="F12" s="67" t="s">
        <v>36</v>
      </c>
      <c r="G12" s="67" t="s">
        <v>36</v>
      </c>
      <c r="H12" s="67" t="s">
        <v>36</v>
      </c>
      <c r="I12" s="67" t="s">
        <v>104</v>
      </c>
      <c r="J12" s="67" t="s">
        <v>36</v>
      </c>
      <c r="K12" s="67" t="s">
        <v>36</v>
      </c>
      <c r="L12" s="67" t="s">
        <v>36</v>
      </c>
      <c r="M12" s="67" t="s">
        <v>36</v>
      </c>
      <c r="N12" s="67" t="s">
        <v>36</v>
      </c>
      <c r="O12" s="67" t="s">
        <v>36</v>
      </c>
      <c r="P12" s="67"/>
    </row>
    <row r="13" ht="15.75" customHeight="1">
      <c r="A13" s="67" t="s">
        <v>105</v>
      </c>
      <c r="B13" s="67" t="s">
        <v>106</v>
      </c>
      <c r="C13" s="67" t="s">
        <v>34</v>
      </c>
      <c r="D13" s="67" t="s">
        <v>36</v>
      </c>
      <c r="E13" s="67" t="s">
        <v>36</v>
      </c>
      <c r="F13" s="67" t="s">
        <v>35</v>
      </c>
      <c r="G13" s="67" t="s">
        <v>35</v>
      </c>
      <c r="H13" s="67" t="s">
        <v>35</v>
      </c>
      <c r="I13" s="67" t="s">
        <v>37</v>
      </c>
      <c r="J13" s="67" t="s">
        <v>35</v>
      </c>
      <c r="K13" s="67" t="s">
        <v>36</v>
      </c>
      <c r="L13" s="67" t="s">
        <v>37</v>
      </c>
      <c r="M13" s="67" t="s">
        <v>35</v>
      </c>
      <c r="N13" s="67" t="s">
        <v>35</v>
      </c>
      <c r="O13" s="67" t="s">
        <v>35</v>
      </c>
      <c r="P13" s="67"/>
    </row>
    <row r="14" ht="15.75" customHeight="1">
      <c r="A14" s="68" t="s">
        <v>115</v>
      </c>
      <c r="B14" s="68" t="s">
        <v>40</v>
      </c>
      <c r="C14" s="68" t="s">
        <v>34</v>
      </c>
      <c r="D14" s="68" t="s">
        <v>35</v>
      </c>
      <c r="E14" s="68" t="s">
        <v>36</v>
      </c>
      <c r="F14" s="68" t="s">
        <v>36</v>
      </c>
      <c r="G14" s="68" t="s">
        <v>36</v>
      </c>
      <c r="H14" s="68" t="s">
        <v>35</v>
      </c>
      <c r="I14" s="68" t="s">
        <v>104</v>
      </c>
      <c r="J14" s="68" t="s">
        <v>35</v>
      </c>
      <c r="K14" s="68" t="s">
        <v>36</v>
      </c>
      <c r="L14" s="68" t="s">
        <v>37</v>
      </c>
      <c r="M14" s="68" t="s">
        <v>36</v>
      </c>
      <c r="N14" s="68" t="s">
        <v>35</v>
      </c>
      <c r="O14" s="68" t="s">
        <v>36</v>
      </c>
      <c r="P14" s="68"/>
    </row>
    <row r="15" ht="15.75" customHeight="1">
      <c r="A15" s="67" t="s">
        <v>122</v>
      </c>
      <c r="B15" s="67" t="s">
        <v>40</v>
      </c>
      <c r="C15" s="67" t="s">
        <v>104</v>
      </c>
      <c r="D15" s="67" t="s">
        <v>35</v>
      </c>
      <c r="E15" s="67" t="s">
        <v>35</v>
      </c>
      <c r="F15" s="67" t="s">
        <v>104</v>
      </c>
      <c r="G15" s="67" t="s">
        <v>35</v>
      </c>
      <c r="H15" s="67" t="s">
        <v>35</v>
      </c>
      <c r="I15" s="67" t="s">
        <v>35</v>
      </c>
      <c r="J15" s="67" t="s">
        <v>35</v>
      </c>
      <c r="K15" s="67" t="s">
        <v>36</v>
      </c>
      <c r="L15" s="67" t="s">
        <v>37</v>
      </c>
      <c r="M15" s="67" t="s">
        <v>37</v>
      </c>
      <c r="N15" s="67" t="s">
        <v>36</v>
      </c>
      <c r="O15" s="67" t="s">
        <v>35</v>
      </c>
      <c r="P15" s="67" t="s">
        <v>128</v>
      </c>
    </row>
    <row r="16" ht="15.75" customHeight="1">
      <c r="A16" s="67" t="s">
        <v>129</v>
      </c>
      <c r="B16" s="67" t="s">
        <v>106</v>
      </c>
      <c r="C16" s="67" t="s">
        <v>104</v>
      </c>
      <c r="D16" s="67" t="s">
        <v>35</v>
      </c>
      <c r="E16" s="67" t="s">
        <v>36</v>
      </c>
      <c r="F16" s="67" t="s">
        <v>35</v>
      </c>
      <c r="G16" s="67" t="s">
        <v>35</v>
      </c>
      <c r="H16" s="67" t="s">
        <v>36</v>
      </c>
      <c r="I16" s="67" t="s">
        <v>35</v>
      </c>
      <c r="J16" s="67" t="s">
        <v>35</v>
      </c>
      <c r="K16" s="67" t="s">
        <v>36</v>
      </c>
      <c r="L16" s="67" t="s">
        <v>104</v>
      </c>
      <c r="M16" s="67" t="s">
        <v>36</v>
      </c>
      <c r="N16" s="67" t="s">
        <v>36</v>
      </c>
      <c r="O16" s="67" t="s">
        <v>36</v>
      </c>
      <c r="P16" s="67" t="s">
        <v>136</v>
      </c>
    </row>
    <row r="17" ht="15.75" customHeight="1">
      <c r="A17" s="68" t="s">
        <v>137</v>
      </c>
      <c r="B17" s="68" t="s">
        <v>106</v>
      </c>
      <c r="C17" s="68" t="s">
        <v>104</v>
      </c>
      <c r="D17" s="68" t="s">
        <v>37</v>
      </c>
      <c r="E17" s="68" t="s">
        <v>104</v>
      </c>
      <c r="F17" s="68" t="s">
        <v>37</v>
      </c>
      <c r="G17" s="68" t="s">
        <v>37</v>
      </c>
      <c r="H17" s="68" t="s">
        <v>104</v>
      </c>
      <c r="I17" s="68" t="s">
        <v>104</v>
      </c>
      <c r="J17" s="68" t="s">
        <v>37</v>
      </c>
      <c r="K17" s="68" t="s">
        <v>104</v>
      </c>
      <c r="L17" s="68" t="s">
        <v>104</v>
      </c>
      <c r="M17" s="68" t="s">
        <v>104</v>
      </c>
      <c r="N17" s="68" t="s">
        <v>104</v>
      </c>
      <c r="O17" s="68" t="s">
        <v>34</v>
      </c>
      <c r="P17" s="68" t="s">
        <v>143</v>
      </c>
    </row>
    <row r="18" ht="15.75" customHeight="1">
      <c r="A18" s="66" t="s">
        <v>144</v>
      </c>
      <c r="B18" s="66" t="s">
        <v>145</v>
      </c>
      <c r="C18" s="66" t="s">
        <v>34</v>
      </c>
      <c r="D18" s="66" t="s">
        <v>35</v>
      </c>
      <c r="E18" s="66" t="s">
        <v>35</v>
      </c>
      <c r="F18" s="66" t="s">
        <v>36</v>
      </c>
      <c r="G18" s="66" t="s">
        <v>35</v>
      </c>
      <c r="H18" s="66" t="s">
        <v>35</v>
      </c>
      <c r="I18" s="66" t="s">
        <v>36</v>
      </c>
      <c r="J18" s="66" t="s">
        <v>36</v>
      </c>
      <c r="K18" s="66" t="s">
        <v>36</v>
      </c>
      <c r="L18" s="66" t="s">
        <v>36</v>
      </c>
      <c r="M18" s="66" t="s">
        <v>36</v>
      </c>
      <c r="N18" s="66" t="s">
        <v>36</v>
      </c>
      <c r="O18" s="66" t="s">
        <v>37</v>
      </c>
      <c r="P18" s="66"/>
    </row>
    <row r="19" ht="15.75" customHeight="1">
      <c r="A19" s="66" t="s">
        <v>151</v>
      </c>
      <c r="B19" s="66" t="s">
        <v>152</v>
      </c>
      <c r="C19" s="66" t="s">
        <v>104</v>
      </c>
      <c r="D19" s="66" t="s">
        <v>36</v>
      </c>
      <c r="E19" s="66" t="s">
        <v>104</v>
      </c>
      <c r="F19" s="66" t="s">
        <v>37</v>
      </c>
      <c r="G19" s="66" t="s">
        <v>36</v>
      </c>
      <c r="H19" s="66" t="s">
        <v>37</v>
      </c>
      <c r="I19" s="66" t="s">
        <v>37</v>
      </c>
      <c r="J19" s="66" t="s">
        <v>36</v>
      </c>
      <c r="K19" s="66" t="s">
        <v>36</v>
      </c>
      <c r="L19" s="66" t="s">
        <v>104</v>
      </c>
      <c r="M19" s="66" t="s">
        <v>37</v>
      </c>
      <c r="N19" s="66" t="s">
        <v>36</v>
      </c>
      <c r="O19" s="66" t="s">
        <v>104</v>
      </c>
      <c r="P19" s="66"/>
    </row>
    <row r="20" ht="15.75" customHeight="1">
      <c r="A20" s="68" t="s">
        <v>158</v>
      </c>
      <c r="B20" s="68" t="s">
        <v>152</v>
      </c>
      <c r="C20" s="68" t="s">
        <v>37</v>
      </c>
      <c r="D20" s="68" t="s">
        <v>36</v>
      </c>
      <c r="E20" s="68" t="s">
        <v>37</v>
      </c>
      <c r="F20" s="68" t="s">
        <v>36</v>
      </c>
      <c r="G20" s="68" t="s">
        <v>37</v>
      </c>
      <c r="H20" s="68" t="s">
        <v>37</v>
      </c>
      <c r="I20" s="68" t="s">
        <v>104</v>
      </c>
      <c r="J20" s="68" t="s">
        <v>36</v>
      </c>
      <c r="K20" s="68" t="s">
        <v>36</v>
      </c>
      <c r="L20" s="68" t="s">
        <v>37</v>
      </c>
      <c r="M20" s="68" t="s">
        <v>37</v>
      </c>
      <c r="N20" s="68" t="s">
        <v>36</v>
      </c>
      <c r="O20" s="68" t="s">
        <v>37</v>
      </c>
      <c r="P20" s="68" t="s">
        <v>164</v>
      </c>
    </row>
    <row r="21" ht="15.75" customHeight="1">
      <c r="A21" s="67" t="s">
        <v>165</v>
      </c>
      <c r="B21" s="67" t="s">
        <v>145</v>
      </c>
      <c r="C21" s="67" t="s">
        <v>34</v>
      </c>
      <c r="D21" s="67" t="s">
        <v>35</v>
      </c>
      <c r="E21" s="67" t="s">
        <v>35</v>
      </c>
      <c r="F21" s="67" t="s">
        <v>35</v>
      </c>
      <c r="G21" s="67" t="s">
        <v>35</v>
      </c>
      <c r="H21" s="67" t="s">
        <v>35</v>
      </c>
      <c r="I21" s="67" t="s">
        <v>35</v>
      </c>
      <c r="J21" s="67" t="s">
        <v>35</v>
      </c>
      <c r="K21" s="67" t="s">
        <v>35</v>
      </c>
      <c r="L21" s="67" t="s">
        <v>37</v>
      </c>
      <c r="M21" s="67" t="s">
        <v>37</v>
      </c>
      <c r="N21" s="67" t="s">
        <v>35</v>
      </c>
      <c r="O21" s="67" t="s">
        <v>35</v>
      </c>
      <c r="P21" s="67" t="s">
        <v>172</v>
      </c>
    </row>
    <row r="22" ht="15.75" customHeight="1">
      <c r="A22" s="69" t="s">
        <v>50</v>
      </c>
      <c r="B22" s="69" t="s">
        <v>173</v>
      </c>
      <c r="C22" s="69" t="s">
        <v>34</v>
      </c>
      <c r="D22" s="69" t="s">
        <v>36</v>
      </c>
      <c r="E22" s="69" t="s">
        <v>37</v>
      </c>
      <c r="F22" s="69" t="s">
        <v>37</v>
      </c>
      <c r="G22" s="69" t="s">
        <v>35</v>
      </c>
      <c r="H22" s="70" t="s">
        <v>35</v>
      </c>
      <c r="I22" s="69" t="s">
        <v>35</v>
      </c>
      <c r="J22" s="69" t="s">
        <v>36</v>
      </c>
      <c r="K22" s="69" t="s">
        <v>35</v>
      </c>
      <c r="L22" s="69" t="s">
        <v>36</v>
      </c>
      <c r="M22" s="69" t="s">
        <v>35</v>
      </c>
      <c r="N22" s="69" t="s">
        <v>36</v>
      </c>
      <c r="O22" s="69" t="s">
        <v>35</v>
      </c>
      <c r="P22" s="69"/>
    </row>
    <row r="23" ht="15.75" customHeight="1">
      <c r="A23" s="69" t="s">
        <v>67</v>
      </c>
      <c r="B23" s="69" t="s">
        <v>173</v>
      </c>
      <c r="C23" s="69" t="s">
        <v>34</v>
      </c>
      <c r="D23" s="69" t="s">
        <v>35</v>
      </c>
      <c r="E23" s="69" t="s">
        <v>37</v>
      </c>
      <c r="F23" s="69" t="s">
        <v>37</v>
      </c>
      <c r="G23" s="69" t="s">
        <v>35</v>
      </c>
      <c r="H23" s="71" t="s">
        <v>35</v>
      </c>
      <c r="I23" s="69" t="s">
        <v>35</v>
      </c>
      <c r="J23" s="69" t="s">
        <v>35</v>
      </c>
      <c r="K23" s="69" t="s">
        <v>35</v>
      </c>
      <c r="L23" s="69" t="s">
        <v>37</v>
      </c>
      <c r="M23" s="69" t="s">
        <v>36</v>
      </c>
      <c r="N23" s="69" t="s">
        <v>36</v>
      </c>
      <c r="O23" s="69" t="s">
        <v>35</v>
      </c>
      <c r="P23" s="69"/>
    </row>
    <row r="24" ht="15.75" customHeight="1">
      <c r="A24" s="72" t="s">
        <v>183</v>
      </c>
      <c r="B24" s="72" t="s">
        <v>184</v>
      </c>
      <c r="C24" s="72" t="s">
        <v>104</v>
      </c>
      <c r="D24" s="72" t="s">
        <v>36</v>
      </c>
      <c r="E24" s="72" t="s">
        <v>35</v>
      </c>
      <c r="F24" s="72" t="s">
        <v>104</v>
      </c>
      <c r="G24" s="72" t="s">
        <v>37</v>
      </c>
      <c r="H24" s="72" t="s">
        <v>35</v>
      </c>
      <c r="I24" s="72" t="s">
        <v>37</v>
      </c>
      <c r="J24" s="72" t="s">
        <v>36</v>
      </c>
      <c r="K24" s="72" t="s">
        <v>36</v>
      </c>
      <c r="L24" s="72" t="s">
        <v>36</v>
      </c>
      <c r="M24" s="72" t="s">
        <v>36</v>
      </c>
      <c r="N24" s="72" t="s">
        <v>36</v>
      </c>
      <c r="O24" s="72" t="s">
        <v>36</v>
      </c>
      <c r="P24" s="72" t="s">
        <v>192</v>
      </c>
    </row>
    <row r="25" ht="15.75" customHeight="1">
      <c r="A25" s="73" t="s">
        <v>193</v>
      </c>
      <c r="B25" s="73" t="s">
        <v>194</v>
      </c>
      <c r="C25" s="73" t="s">
        <v>34</v>
      </c>
      <c r="D25" s="73" t="s">
        <v>35</v>
      </c>
      <c r="E25" s="73" t="s">
        <v>104</v>
      </c>
      <c r="F25" s="73" t="s">
        <v>36</v>
      </c>
      <c r="G25" s="73" t="s">
        <v>35</v>
      </c>
      <c r="H25" s="74" t="s">
        <v>36</v>
      </c>
      <c r="I25" s="73" t="s">
        <v>34</v>
      </c>
      <c r="J25" s="73" t="s">
        <v>36</v>
      </c>
      <c r="K25" s="73" t="s">
        <v>36</v>
      </c>
      <c r="L25" s="73" t="s">
        <v>36</v>
      </c>
      <c r="M25" s="73" t="s">
        <v>104</v>
      </c>
      <c r="N25" s="73" t="s">
        <v>37</v>
      </c>
      <c r="O25" s="73" t="s">
        <v>35</v>
      </c>
      <c r="P25" s="73" t="s">
        <v>202</v>
      </c>
    </row>
    <row r="26" ht="15.75" customHeight="1">
      <c r="A26" s="75" t="s">
        <v>203</v>
      </c>
      <c r="B26" s="75" t="s">
        <v>173</v>
      </c>
      <c r="C26" s="75" t="s">
        <v>104</v>
      </c>
      <c r="D26" s="75" t="s">
        <v>36</v>
      </c>
      <c r="E26" s="75" t="s">
        <v>35</v>
      </c>
      <c r="F26" s="75" t="s">
        <v>37</v>
      </c>
      <c r="G26" s="75" t="s">
        <v>36</v>
      </c>
      <c r="H26" s="76" t="s">
        <v>37</v>
      </c>
      <c r="I26" s="75" t="s">
        <v>34</v>
      </c>
      <c r="J26" s="75" t="s">
        <v>36</v>
      </c>
      <c r="K26" s="75" t="s">
        <v>36</v>
      </c>
      <c r="L26" s="75" t="s">
        <v>37</v>
      </c>
      <c r="M26" s="75" t="s">
        <v>104</v>
      </c>
      <c r="N26" s="75" t="s">
        <v>36</v>
      </c>
      <c r="O26" s="75" t="s">
        <v>37</v>
      </c>
      <c r="P26" s="75"/>
    </row>
    <row r="27" ht="15.75" customHeight="1">
      <c r="A27" s="77" t="s">
        <v>25</v>
      </c>
      <c r="B27" s="77" t="s">
        <v>194</v>
      </c>
      <c r="C27" s="77" t="s">
        <v>34</v>
      </c>
      <c r="D27" s="77" t="s">
        <v>34</v>
      </c>
      <c r="E27" s="77" t="s">
        <v>34</v>
      </c>
      <c r="F27" s="77" t="s">
        <v>34</v>
      </c>
      <c r="G27" s="77" t="s">
        <v>36</v>
      </c>
      <c r="H27" s="78" t="s">
        <v>36</v>
      </c>
      <c r="I27" s="77" t="s">
        <v>34</v>
      </c>
      <c r="J27" s="77" t="s">
        <v>35</v>
      </c>
      <c r="K27" s="77" t="s">
        <v>36</v>
      </c>
      <c r="L27" s="77" t="s">
        <v>36</v>
      </c>
      <c r="M27" s="77" t="s">
        <v>35</v>
      </c>
      <c r="N27" s="77" t="s">
        <v>36</v>
      </c>
      <c r="O27" s="77" t="s">
        <v>35</v>
      </c>
      <c r="P27" s="77" t="s">
        <v>216</v>
      </c>
    </row>
    <row r="28" ht="15.75" customHeight="1">
      <c r="A28" s="77" t="s">
        <v>25</v>
      </c>
      <c r="B28" s="77" t="s">
        <v>194</v>
      </c>
      <c r="C28" s="77" t="s">
        <v>34</v>
      </c>
      <c r="D28" s="77" t="s">
        <v>34</v>
      </c>
      <c r="E28" s="77" t="s">
        <v>34</v>
      </c>
      <c r="F28" s="77" t="s">
        <v>34</v>
      </c>
      <c r="G28" s="77" t="s">
        <v>104</v>
      </c>
      <c r="H28" s="78" t="s">
        <v>104</v>
      </c>
      <c r="I28" s="77" t="s">
        <v>34</v>
      </c>
      <c r="J28" s="77" t="s">
        <v>104</v>
      </c>
      <c r="K28" s="77" t="s">
        <v>104</v>
      </c>
      <c r="L28" s="77" t="s">
        <v>104</v>
      </c>
      <c r="M28" s="77" t="s">
        <v>104</v>
      </c>
      <c r="N28" s="77" t="s">
        <v>104</v>
      </c>
      <c r="O28" s="77" t="s">
        <v>104</v>
      </c>
      <c r="P28" s="77" t="s">
        <v>221</v>
      </c>
    </row>
    <row r="29" ht="15.75" customHeight="1">
      <c r="A29" s="79" t="s">
        <v>34</v>
      </c>
      <c r="B29" s="80"/>
      <c r="C29" s="81">
        <f>COUNTIF(C4:C$28,"Muy en desacuerdo")/24</f>
        <v>0.75</v>
      </c>
      <c r="D29" s="82">
        <f>COUNTIF(D$4:D$28,"Muy en desacuerdo")/24</f>
        <v>0.08333333333</v>
      </c>
      <c r="E29" s="81">
        <f>COUNTIF(E4:E$28,"Muy en desacuerdo")/24</f>
        <v>0.08333333333</v>
      </c>
      <c r="F29" s="82">
        <f>COUNTIF(F$4:F$28,"Muy en desacuerdo")/24</f>
        <v>0.08333333333</v>
      </c>
      <c r="G29" s="83">
        <f>COUNTIF(G4:G$28,"Muy en desacuerdo")/24</f>
        <v>0</v>
      </c>
      <c r="H29" s="84">
        <f>COUNTIF(H$4:H$28,"Muy en desacuerdo")/24</f>
        <v>0</v>
      </c>
      <c r="I29" s="85">
        <f>COUNTIF(I4:I$28,"Muy en desacuerdo")/24</f>
        <v>0.1666666667</v>
      </c>
      <c r="J29" s="82">
        <f>COUNTIF(J$4:J$28,"Muy en desacuerdo")/24</f>
        <v>0</v>
      </c>
      <c r="K29" s="81">
        <f>COUNTIF(K4:K$28,"Muy en desacuerdo")/24</f>
        <v>0</v>
      </c>
      <c r="L29" s="82">
        <f>COUNTIF(L$4:L$28,"Muy en desacuerdo")/24</f>
        <v>0</v>
      </c>
      <c r="M29" s="81">
        <f>COUNTIF(M4:M$28,"Muy en desacuerdo")/24</f>
        <v>0</v>
      </c>
      <c r="N29" s="82">
        <f>COUNTIF(N$4:N$28,"Muy en desacuerdo")/24</f>
        <v>0</v>
      </c>
      <c r="O29" s="81">
        <f>COUNTIF(O4:O$28,"Muy en desacuerdo")/24</f>
        <v>0.04166666667</v>
      </c>
    </row>
    <row r="30" ht="15.75" customHeight="1">
      <c r="A30" s="79" t="s">
        <v>104</v>
      </c>
      <c r="B30" s="80"/>
      <c r="C30" s="81">
        <f t="shared" ref="C30:O30" si="1">COUNTIF(C$4:C$28,"Algo en desacuerdo")/24</f>
        <v>0.25</v>
      </c>
      <c r="D30" s="82">
        <f t="shared" si="1"/>
        <v>0</v>
      </c>
      <c r="E30" s="81">
        <f t="shared" si="1"/>
        <v>0.125</v>
      </c>
      <c r="F30" s="82">
        <f t="shared" si="1"/>
        <v>0.08333333333</v>
      </c>
      <c r="G30" s="83">
        <f t="shared" si="1"/>
        <v>0.04166666667</v>
      </c>
      <c r="H30" s="84">
        <f t="shared" si="1"/>
        <v>0.08333333333</v>
      </c>
      <c r="I30" s="85">
        <f t="shared" si="1"/>
        <v>0.1666666667</v>
      </c>
      <c r="J30" s="82">
        <f t="shared" si="1"/>
        <v>0.04166666667</v>
      </c>
      <c r="K30" s="81">
        <f t="shared" si="1"/>
        <v>0.08333333333</v>
      </c>
      <c r="L30" s="82">
        <f t="shared" si="1"/>
        <v>0.1666666667</v>
      </c>
      <c r="M30" s="81">
        <f t="shared" si="1"/>
        <v>0.1666666667</v>
      </c>
      <c r="N30" s="82">
        <f t="shared" si="1"/>
        <v>0.08333333333</v>
      </c>
      <c r="O30" s="81">
        <f t="shared" si="1"/>
        <v>0.08333333333</v>
      </c>
    </row>
    <row r="31" ht="15.75" customHeight="1">
      <c r="A31" s="79" t="s">
        <v>37</v>
      </c>
      <c r="B31" s="80"/>
      <c r="C31" s="81">
        <f t="shared" ref="C31:O31" si="2">COUNTIF(C$4:C$28,"Ni de acuerdo ni desacuerdo")/24</f>
        <v>0.04166666667</v>
      </c>
      <c r="D31" s="82">
        <f t="shared" si="2"/>
        <v>0.08333333333</v>
      </c>
      <c r="E31" s="81">
        <f t="shared" si="2"/>
        <v>0.2083333333</v>
      </c>
      <c r="F31" s="82">
        <f t="shared" si="2"/>
        <v>0.375</v>
      </c>
      <c r="G31" s="83">
        <f t="shared" si="2"/>
        <v>0.125</v>
      </c>
      <c r="H31" s="84">
        <f t="shared" si="2"/>
        <v>0.125</v>
      </c>
      <c r="I31" s="85">
        <f t="shared" si="2"/>
        <v>0.1666666667</v>
      </c>
      <c r="J31" s="82">
        <f t="shared" si="2"/>
        <v>0.04166666667</v>
      </c>
      <c r="K31" s="81">
        <f t="shared" si="2"/>
        <v>0</v>
      </c>
      <c r="L31" s="82">
        <f t="shared" si="2"/>
        <v>0.4583333333</v>
      </c>
      <c r="M31" s="81">
        <f t="shared" si="2"/>
        <v>0.1666666667</v>
      </c>
      <c r="N31" s="82">
        <f t="shared" si="2"/>
        <v>0.125</v>
      </c>
      <c r="O31" s="81">
        <f t="shared" si="2"/>
        <v>0.125</v>
      </c>
    </row>
    <row r="32" ht="15.75" customHeight="1">
      <c r="A32" s="79" t="s">
        <v>36</v>
      </c>
      <c r="B32" s="80"/>
      <c r="C32" s="81">
        <f t="shared" ref="C32:O32" si="3">COUNTIF(C$4:C$28,"Parcialmente de acuerdo")/24</f>
        <v>0</v>
      </c>
      <c r="D32" s="82">
        <f t="shared" si="3"/>
        <v>0.2916666667</v>
      </c>
      <c r="E32" s="81">
        <f t="shared" si="3"/>
        <v>0.375</v>
      </c>
      <c r="F32" s="82">
        <f t="shared" si="3"/>
        <v>0.2916666667</v>
      </c>
      <c r="G32" s="83">
        <f t="shared" si="3"/>
        <v>0.25</v>
      </c>
      <c r="H32" s="84">
        <f t="shared" si="3"/>
        <v>0.1666666667</v>
      </c>
      <c r="I32" s="85">
        <f t="shared" si="3"/>
        <v>0.04166666667</v>
      </c>
      <c r="J32" s="82">
        <f t="shared" si="3"/>
        <v>0.4166666667</v>
      </c>
      <c r="K32" s="81">
        <f t="shared" si="3"/>
        <v>0.5416666667</v>
      </c>
      <c r="L32" s="82">
        <f t="shared" si="3"/>
        <v>0.375</v>
      </c>
      <c r="M32" s="81">
        <f t="shared" si="3"/>
        <v>0.3333333333</v>
      </c>
      <c r="N32" s="82">
        <f t="shared" si="3"/>
        <v>0.5416666667</v>
      </c>
      <c r="O32" s="81">
        <f t="shared" si="3"/>
        <v>0.1666666667</v>
      </c>
    </row>
    <row r="33" ht="15.75" customHeight="1">
      <c r="A33" s="79" t="s">
        <v>35</v>
      </c>
      <c r="B33" s="80"/>
      <c r="C33" s="81">
        <f t="shared" ref="C33:O33" si="4">COUNTIF(C$4:C$28,"Totalmente de acuerdo")/24</f>
        <v>0</v>
      </c>
      <c r="D33" s="82">
        <f t="shared" si="4"/>
        <v>0.5833333333</v>
      </c>
      <c r="E33" s="81">
        <f t="shared" si="4"/>
        <v>0.25</v>
      </c>
      <c r="F33" s="82">
        <f t="shared" si="4"/>
        <v>0.2083333333</v>
      </c>
      <c r="G33" s="83">
        <f t="shared" si="4"/>
        <v>0.625</v>
      </c>
      <c r="H33" s="84">
        <f t="shared" si="4"/>
        <v>0.6666666667</v>
      </c>
      <c r="I33" s="85">
        <f t="shared" si="4"/>
        <v>0.5</v>
      </c>
      <c r="J33" s="82">
        <f t="shared" si="4"/>
        <v>0.5416666667</v>
      </c>
      <c r="K33" s="81">
        <f t="shared" si="4"/>
        <v>0.4166666667</v>
      </c>
      <c r="L33" s="82">
        <f t="shared" si="4"/>
        <v>0.04166666667</v>
      </c>
      <c r="M33" s="81">
        <f t="shared" si="4"/>
        <v>0.375</v>
      </c>
      <c r="N33" s="82">
        <f t="shared" si="4"/>
        <v>0.2916666667</v>
      </c>
      <c r="O33" s="81">
        <f t="shared" si="4"/>
        <v>0.625</v>
      </c>
    </row>
    <row r="34" ht="15.75" customHeight="1">
      <c r="M34" s="86">
        <f>14/19</f>
        <v>0.7368421053</v>
      </c>
    </row>
    <row r="35" ht="15.75" customHeight="1">
      <c r="M35" s="86">
        <f>1/19</f>
        <v>0.05263157895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O1:O3"/>
    <mergeCell ref="P1:P3"/>
    <mergeCell ref="H1:H3"/>
    <mergeCell ref="I1:I3"/>
    <mergeCell ref="J1:J3"/>
    <mergeCell ref="K1:K3"/>
    <mergeCell ref="L1:L3"/>
    <mergeCell ref="M1:M3"/>
    <mergeCell ref="N1:N3"/>
    <mergeCell ref="A29:B29"/>
    <mergeCell ref="A30:B30"/>
    <mergeCell ref="A31:B31"/>
    <mergeCell ref="A32:B32"/>
    <mergeCell ref="A33:B33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8.88"/>
    <col customWidth="1" min="3" max="3" width="12.63"/>
    <col customWidth="1" min="4" max="4" width="14.38"/>
    <col customWidth="1" min="5" max="5" width="20.13"/>
    <col customWidth="1" min="6" max="6" width="16.88"/>
    <col customWidth="1" min="7" max="7" width="16.13"/>
    <col customWidth="1" min="8" max="8" width="16.0"/>
    <col customWidth="1" min="9" max="9" width="3.38"/>
    <col customWidth="1" min="10" max="10" width="3.25"/>
    <col customWidth="1" min="11" max="11" width="28.75"/>
    <col customWidth="1" min="12" max="12" width="16.0"/>
    <col customWidth="1" min="13" max="13" width="15.0"/>
    <col customWidth="1" min="14" max="14" width="19.88"/>
    <col customWidth="1" min="16" max="16" width="25.75"/>
    <col customWidth="1" min="17" max="17" width="11.88"/>
    <col customWidth="1" min="18" max="18" width="16.0"/>
    <col customWidth="1" min="19" max="19" width="11.5"/>
    <col customWidth="1" min="22" max="22" width="7.0"/>
    <col customWidth="1" min="23" max="23" width="21.38"/>
    <col customWidth="1" min="25" max="25" width="16.88"/>
  </cols>
  <sheetData>
    <row r="1" ht="15.75" customHeight="1">
      <c r="A1" s="87" t="s">
        <v>317</v>
      </c>
      <c r="B1" s="88" t="s">
        <v>223</v>
      </c>
      <c r="C1" s="88" t="s">
        <v>318</v>
      </c>
      <c r="D1" s="88" t="s">
        <v>319</v>
      </c>
      <c r="E1" s="88" t="s">
        <v>320</v>
      </c>
      <c r="F1" s="88" t="s">
        <v>321</v>
      </c>
      <c r="G1" s="88" t="s">
        <v>322</v>
      </c>
      <c r="H1" s="88" t="s">
        <v>323</v>
      </c>
      <c r="K1" s="89" t="s">
        <v>324</v>
      </c>
    </row>
    <row r="2" ht="15.75" customHeight="1">
      <c r="A2" s="53"/>
      <c r="B2" s="53"/>
      <c r="C2" s="53"/>
      <c r="D2" s="53"/>
      <c r="E2" s="53"/>
      <c r="F2" s="53"/>
      <c r="G2" s="53"/>
      <c r="H2" s="53"/>
      <c r="K2" s="90" t="s">
        <v>223</v>
      </c>
      <c r="L2" s="90" t="s">
        <v>250</v>
      </c>
      <c r="M2" s="90" t="s">
        <v>242</v>
      </c>
      <c r="O2" s="91"/>
      <c r="V2" s="87" t="s">
        <v>317</v>
      </c>
      <c r="W2" s="88" t="s">
        <v>223</v>
      </c>
      <c r="X2" s="88" t="s">
        <v>318</v>
      </c>
      <c r="Y2" s="88" t="s">
        <v>322</v>
      </c>
    </row>
    <row r="3" ht="15.75" customHeight="1">
      <c r="A3" s="92">
        <v>2.0</v>
      </c>
      <c r="B3" s="93" t="s">
        <v>325</v>
      </c>
      <c r="C3" s="93" t="s">
        <v>238</v>
      </c>
      <c r="D3" s="94" t="s">
        <v>243</v>
      </c>
      <c r="E3" s="93" t="s">
        <v>326</v>
      </c>
      <c r="F3" s="93">
        <v>60.0</v>
      </c>
      <c r="G3" s="95">
        <v>3.0</v>
      </c>
      <c r="H3" s="93" t="s">
        <v>327</v>
      </c>
      <c r="I3" s="28">
        <v>1.0</v>
      </c>
      <c r="J3" s="90">
        <v>7.0</v>
      </c>
      <c r="K3" s="96" t="s">
        <v>59</v>
      </c>
      <c r="L3" s="97">
        <v>83.0</v>
      </c>
      <c r="M3" s="98">
        <v>1.0</v>
      </c>
      <c r="O3" s="99"/>
      <c r="V3" s="53"/>
      <c r="W3" s="53"/>
      <c r="X3" s="53"/>
      <c r="Y3" s="53"/>
    </row>
    <row r="4" ht="15.75" customHeight="1">
      <c r="A4" s="100">
        <v>3.0</v>
      </c>
      <c r="B4" s="101" t="s">
        <v>59</v>
      </c>
      <c r="C4" s="101" t="s">
        <v>238</v>
      </c>
      <c r="D4" s="102">
        <v>2.0</v>
      </c>
      <c r="E4" s="101" t="s">
        <v>60</v>
      </c>
      <c r="F4" s="101">
        <v>80.0</v>
      </c>
      <c r="G4" s="103">
        <v>2.0</v>
      </c>
      <c r="H4" s="101" t="s">
        <v>327</v>
      </c>
      <c r="I4" s="28">
        <v>2.0</v>
      </c>
      <c r="J4" s="90">
        <v>13.0</v>
      </c>
      <c r="K4" s="96" t="s">
        <v>227</v>
      </c>
      <c r="L4" s="97">
        <v>65.0</v>
      </c>
      <c r="M4" s="98">
        <v>1.0</v>
      </c>
      <c r="O4" s="99"/>
      <c r="V4" s="90">
        <v>2.0</v>
      </c>
      <c r="W4" s="96" t="s">
        <v>225</v>
      </c>
      <c r="X4" s="104" t="s">
        <v>238</v>
      </c>
      <c r="Y4" s="105">
        <v>3.0</v>
      </c>
    </row>
    <row r="5" ht="15.75" customHeight="1">
      <c r="A5" s="100">
        <v>4.0</v>
      </c>
      <c r="B5" s="101" t="s">
        <v>59</v>
      </c>
      <c r="C5" s="101" t="s">
        <v>238</v>
      </c>
      <c r="D5" s="102">
        <v>5.0</v>
      </c>
      <c r="E5" s="101" t="s">
        <v>60</v>
      </c>
      <c r="F5" s="101">
        <v>78.0</v>
      </c>
      <c r="G5" s="103" t="s">
        <v>246</v>
      </c>
      <c r="H5" s="101" t="s">
        <v>327</v>
      </c>
      <c r="I5" s="28">
        <v>3.0</v>
      </c>
      <c r="J5" s="90">
        <v>15.0</v>
      </c>
      <c r="K5" s="96" t="s">
        <v>137</v>
      </c>
      <c r="L5" s="97">
        <v>95.0</v>
      </c>
      <c r="M5" s="98">
        <v>1.0</v>
      </c>
      <c r="O5" s="99"/>
      <c r="V5" s="90">
        <v>3.0</v>
      </c>
      <c r="W5" s="96" t="s">
        <v>59</v>
      </c>
      <c r="X5" s="104" t="s">
        <v>238</v>
      </c>
      <c r="Y5" s="105">
        <v>2.0</v>
      </c>
    </row>
    <row r="6" ht="15.75" customHeight="1">
      <c r="A6" s="100">
        <v>5.0</v>
      </c>
      <c r="B6" s="101" t="s">
        <v>59</v>
      </c>
      <c r="C6" s="101" t="s">
        <v>238</v>
      </c>
      <c r="D6" s="102" t="s">
        <v>243</v>
      </c>
      <c r="E6" s="101" t="s">
        <v>60</v>
      </c>
      <c r="F6" s="101">
        <v>70.0</v>
      </c>
      <c r="G6" s="103" t="s">
        <v>246</v>
      </c>
      <c r="H6" s="101" t="s">
        <v>327</v>
      </c>
      <c r="I6" s="28">
        <v>4.0</v>
      </c>
      <c r="J6" s="90">
        <v>16.0</v>
      </c>
      <c r="K6" s="96" t="s">
        <v>230</v>
      </c>
      <c r="L6" s="97">
        <v>60.0</v>
      </c>
      <c r="M6" s="98">
        <v>1.0</v>
      </c>
      <c r="O6" s="99"/>
      <c r="V6" s="90">
        <v>4.0</v>
      </c>
      <c r="W6" s="96" t="s">
        <v>59</v>
      </c>
      <c r="X6" s="104" t="s">
        <v>238</v>
      </c>
      <c r="Y6" s="105" t="s">
        <v>246</v>
      </c>
    </row>
    <row r="7" ht="15.75" customHeight="1">
      <c r="A7" s="100">
        <v>6.0</v>
      </c>
      <c r="B7" s="101" t="s">
        <v>59</v>
      </c>
      <c r="C7" s="101" t="s">
        <v>238</v>
      </c>
      <c r="D7" s="102">
        <v>8.0</v>
      </c>
      <c r="E7" s="101" t="s">
        <v>60</v>
      </c>
      <c r="F7" s="101">
        <v>80.0</v>
      </c>
      <c r="G7" s="103">
        <v>2.0</v>
      </c>
      <c r="H7" s="101" t="s">
        <v>327</v>
      </c>
      <c r="I7" s="28">
        <v>5.0</v>
      </c>
      <c r="J7" s="90">
        <v>18.0</v>
      </c>
      <c r="K7" s="96" t="s">
        <v>232</v>
      </c>
      <c r="L7" s="97">
        <v>70.0</v>
      </c>
      <c r="M7" s="98">
        <v>1.0</v>
      </c>
      <c r="O7" s="99"/>
      <c r="V7" s="90">
        <v>5.0</v>
      </c>
      <c r="W7" s="96" t="s">
        <v>59</v>
      </c>
      <c r="X7" s="104" t="s">
        <v>238</v>
      </c>
      <c r="Y7" s="105" t="s">
        <v>246</v>
      </c>
    </row>
    <row r="8" ht="15.75" customHeight="1">
      <c r="A8" s="100">
        <v>7.0</v>
      </c>
      <c r="B8" s="101" t="s">
        <v>59</v>
      </c>
      <c r="C8" s="101" t="s">
        <v>238</v>
      </c>
      <c r="D8" s="102">
        <v>1.0</v>
      </c>
      <c r="E8" s="101" t="s">
        <v>60</v>
      </c>
      <c r="F8" s="101">
        <v>60.0</v>
      </c>
      <c r="G8" s="103">
        <v>2.0</v>
      </c>
      <c r="H8" s="101" t="s">
        <v>327</v>
      </c>
      <c r="I8" s="28">
        <v>6.0</v>
      </c>
      <c r="J8" s="90">
        <v>21.0</v>
      </c>
      <c r="K8" s="96" t="s">
        <v>59</v>
      </c>
      <c r="L8" s="97">
        <v>83.0</v>
      </c>
      <c r="M8" s="98">
        <v>1.0</v>
      </c>
      <c r="O8" s="99"/>
      <c r="V8" s="90">
        <v>6.0</v>
      </c>
      <c r="W8" s="96" t="s">
        <v>59</v>
      </c>
      <c r="X8" s="104" t="s">
        <v>238</v>
      </c>
      <c r="Y8" s="105">
        <v>2.0</v>
      </c>
    </row>
    <row r="9" ht="15.75" customHeight="1">
      <c r="A9" s="100">
        <v>8.0</v>
      </c>
      <c r="B9" s="101" t="s">
        <v>59</v>
      </c>
      <c r="C9" s="101" t="s">
        <v>238</v>
      </c>
      <c r="D9" s="102">
        <v>6.0</v>
      </c>
      <c r="E9" s="101" t="s">
        <v>60</v>
      </c>
      <c r="F9" s="101">
        <v>74.0</v>
      </c>
      <c r="G9" s="103">
        <v>2.0</v>
      </c>
      <c r="H9" s="101" t="s">
        <v>327</v>
      </c>
      <c r="I9" s="28">
        <v>7.0</v>
      </c>
      <c r="J9" s="90">
        <v>22.0</v>
      </c>
      <c r="K9" s="106" t="s">
        <v>183</v>
      </c>
      <c r="L9" s="97">
        <v>98.0</v>
      </c>
      <c r="M9" s="98">
        <v>1.0</v>
      </c>
      <c r="O9" s="99"/>
      <c r="V9" s="90">
        <v>7.0</v>
      </c>
      <c r="W9" s="96" t="s">
        <v>59</v>
      </c>
      <c r="X9" s="104" t="s">
        <v>238</v>
      </c>
      <c r="Y9" s="105">
        <v>2.0</v>
      </c>
    </row>
    <row r="10" ht="15.75" customHeight="1">
      <c r="A10" s="100">
        <v>9.0</v>
      </c>
      <c r="B10" s="101" t="s">
        <v>59</v>
      </c>
      <c r="C10" s="101" t="s">
        <v>238</v>
      </c>
      <c r="D10" s="102" t="s">
        <v>243</v>
      </c>
      <c r="E10" s="101" t="s">
        <v>60</v>
      </c>
      <c r="F10" s="101">
        <v>83.0</v>
      </c>
      <c r="G10" s="103">
        <v>1.0</v>
      </c>
      <c r="H10" s="101" t="s">
        <v>327</v>
      </c>
      <c r="J10" s="107" t="s">
        <v>328</v>
      </c>
      <c r="K10" s="108"/>
      <c r="L10" s="109"/>
      <c r="M10" s="110">
        <f>AVERAGEA(L3:L9)</f>
        <v>79.14285714</v>
      </c>
      <c r="V10" s="90">
        <v>8.0</v>
      </c>
      <c r="W10" s="96" t="s">
        <v>59</v>
      </c>
      <c r="X10" s="104" t="s">
        <v>238</v>
      </c>
      <c r="Y10" s="105">
        <v>2.0</v>
      </c>
    </row>
    <row r="11" ht="15.75" customHeight="1">
      <c r="A11" s="111">
        <v>10.0</v>
      </c>
      <c r="B11" s="112" t="s">
        <v>227</v>
      </c>
      <c r="C11" s="112" t="s">
        <v>238</v>
      </c>
      <c r="D11" s="113">
        <v>25.0</v>
      </c>
      <c r="E11" s="112" t="s">
        <v>326</v>
      </c>
      <c r="F11" s="112">
        <v>80.0</v>
      </c>
      <c r="G11" s="114" t="s">
        <v>246</v>
      </c>
      <c r="H11" s="112" t="s">
        <v>246</v>
      </c>
      <c r="I11" s="28"/>
      <c r="J11" s="107" t="s">
        <v>329</v>
      </c>
      <c r="K11" s="108"/>
      <c r="L11" s="115"/>
      <c r="M11" s="116">
        <f>MODE(L3:L9)</f>
        <v>83</v>
      </c>
      <c r="V11" s="90">
        <v>9.0</v>
      </c>
      <c r="W11" s="96" t="s">
        <v>59</v>
      </c>
      <c r="X11" s="104" t="s">
        <v>238</v>
      </c>
      <c r="Y11" s="105">
        <v>1.0</v>
      </c>
    </row>
    <row r="12" ht="15.75" customHeight="1">
      <c r="A12" s="111">
        <v>11.0</v>
      </c>
      <c r="B12" s="112" t="s">
        <v>227</v>
      </c>
      <c r="C12" s="112" t="s">
        <v>238</v>
      </c>
      <c r="D12" s="117">
        <v>45047.0</v>
      </c>
      <c r="E12" s="112" t="s">
        <v>326</v>
      </c>
      <c r="F12" s="112">
        <v>85.0</v>
      </c>
      <c r="G12" s="114">
        <v>2.0</v>
      </c>
      <c r="H12" s="112" t="s">
        <v>327</v>
      </c>
      <c r="I12" s="28" t="s">
        <v>330</v>
      </c>
      <c r="J12" s="90">
        <v>2.0</v>
      </c>
      <c r="K12" s="106" t="s">
        <v>331</v>
      </c>
      <c r="L12" s="96">
        <v>60.0</v>
      </c>
      <c r="M12" s="98" t="s">
        <v>243</v>
      </c>
      <c r="V12" s="90">
        <v>10.0</v>
      </c>
      <c r="W12" s="96" t="s">
        <v>226</v>
      </c>
      <c r="X12" s="104" t="s">
        <v>238</v>
      </c>
      <c r="Y12" s="105" t="s">
        <v>246</v>
      </c>
    </row>
    <row r="13" ht="15.75" customHeight="1">
      <c r="A13" s="90">
        <v>12.0</v>
      </c>
      <c r="B13" s="96" t="s">
        <v>228</v>
      </c>
      <c r="C13" s="104" t="s">
        <v>238</v>
      </c>
      <c r="D13" s="118" t="s">
        <v>243</v>
      </c>
      <c r="E13" s="104" t="s">
        <v>60</v>
      </c>
      <c r="F13" s="104">
        <v>90.0</v>
      </c>
      <c r="G13" s="105">
        <v>3.0</v>
      </c>
      <c r="H13" s="104" t="s">
        <v>327</v>
      </c>
      <c r="J13" s="90">
        <v>5.0</v>
      </c>
      <c r="K13" s="96" t="s">
        <v>59</v>
      </c>
      <c r="L13" s="96">
        <v>37.0</v>
      </c>
      <c r="M13" s="98" t="s">
        <v>243</v>
      </c>
      <c r="V13" s="90">
        <v>11.0</v>
      </c>
      <c r="W13" s="96" t="s">
        <v>227</v>
      </c>
      <c r="X13" s="104" t="s">
        <v>238</v>
      </c>
      <c r="Y13" s="105">
        <v>2.0</v>
      </c>
    </row>
    <row r="14" ht="15.75" customHeight="1">
      <c r="A14" s="111">
        <v>13.0</v>
      </c>
      <c r="B14" s="112" t="s">
        <v>227</v>
      </c>
      <c r="C14" s="112" t="s">
        <v>238</v>
      </c>
      <c r="D14" s="113">
        <v>1.0</v>
      </c>
      <c r="E14" s="112" t="s">
        <v>326</v>
      </c>
      <c r="F14" s="112">
        <v>65.0</v>
      </c>
      <c r="G14" s="114">
        <v>2.0</v>
      </c>
      <c r="H14" s="112" t="s">
        <v>246</v>
      </c>
      <c r="J14" s="90">
        <v>9.0</v>
      </c>
      <c r="K14" s="96" t="s">
        <v>59</v>
      </c>
      <c r="L14" s="96">
        <v>22.0</v>
      </c>
      <c r="M14" s="98" t="s">
        <v>243</v>
      </c>
      <c r="V14" s="90">
        <v>12.0</v>
      </c>
      <c r="W14" s="96" t="s">
        <v>228</v>
      </c>
      <c r="X14" s="104" t="s">
        <v>238</v>
      </c>
      <c r="Y14" s="105">
        <v>3.0</v>
      </c>
    </row>
    <row r="15" ht="15.75" customHeight="1">
      <c r="A15" s="111">
        <v>14.0</v>
      </c>
      <c r="B15" s="112" t="s">
        <v>227</v>
      </c>
      <c r="C15" s="112" t="s">
        <v>238</v>
      </c>
      <c r="D15" s="113" t="s">
        <v>243</v>
      </c>
      <c r="E15" s="112" t="s">
        <v>326</v>
      </c>
      <c r="F15" s="112">
        <v>75.0</v>
      </c>
      <c r="G15" s="114">
        <v>2.0</v>
      </c>
      <c r="H15" s="112" t="s">
        <v>327</v>
      </c>
      <c r="J15" s="90">
        <v>12.0</v>
      </c>
      <c r="K15" s="96" t="s">
        <v>228</v>
      </c>
      <c r="L15" s="96">
        <v>90.0</v>
      </c>
      <c r="M15" s="98" t="s">
        <v>243</v>
      </c>
      <c r="V15" s="90">
        <v>13.0</v>
      </c>
      <c r="W15" s="96" t="s">
        <v>227</v>
      </c>
      <c r="X15" s="104" t="s">
        <v>238</v>
      </c>
      <c r="Y15" s="105">
        <v>2.0</v>
      </c>
    </row>
    <row r="16" ht="15.75" customHeight="1">
      <c r="A16" s="90">
        <v>15.0</v>
      </c>
      <c r="B16" s="96" t="s">
        <v>137</v>
      </c>
      <c r="C16" s="104" t="s">
        <v>238</v>
      </c>
      <c r="D16" s="118">
        <v>1.0</v>
      </c>
      <c r="E16" s="104" t="s">
        <v>326</v>
      </c>
      <c r="F16" s="104">
        <v>95.0</v>
      </c>
      <c r="G16" s="105">
        <v>1.0</v>
      </c>
      <c r="H16" s="104" t="s">
        <v>246</v>
      </c>
      <c r="J16" s="90">
        <v>17.0</v>
      </c>
      <c r="K16" s="96" t="s">
        <v>231</v>
      </c>
      <c r="L16" s="96">
        <v>78.0</v>
      </c>
      <c r="M16" s="98" t="s">
        <v>243</v>
      </c>
      <c r="V16" s="90">
        <v>14.0</v>
      </c>
      <c r="W16" s="96" t="s">
        <v>229</v>
      </c>
      <c r="X16" s="104" t="s">
        <v>238</v>
      </c>
      <c r="Y16" s="105">
        <v>2.0</v>
      </c>
    </row>
    <row r="17" ht="15.75" customHeight="1">
      <c r="A17" s="111">
        <v>16.0</v>
      </c>
      <c r="B17" s="112" t="s">
        <v>227</v>
      </c>
      <c r="C17" s="112" t="s">
        <v>238</v>
      </c>
      <c r="D17" s="113">
        <v>1.0</v>
      </c>
      <c r="E17" s="112" t="s">
        <v>60</v>
      </c>
      <c r="F17" s="112">
        <v>60.0</v>
      </c>
      <c r="G17" s="114">
        <v>3.0</v>
      </c>
      <c r="H17" s="112" t="s">
        <v>327</v>
      </c>
      <c r="J17" s="119" t="s">
        <v>328</v>
      </c>
      <c r="K17" s="120"/>
      <c r="L17" s="121"/>
      <c r="M17" s="122">
        <f>AVERAGEA(L12:L16)</f>
        <v>57.4</v>
      </c>
      <c r="V17" s="90">
        <v>15.0</v>
      </c>
      <c r="W17" s="96" t="s">
        <v>137</v>
      </c>
      <c r="X17" s="104" t="s">
        <v>238</v>
      </c>
      <c r="Y17" s="105">
        <v>1.0</v>
      </c>
    </row>
    <row r="18" ht="15.75" customHeight="1">
      <c r="A18" s="111">
        <v>17.0</v>
      </c>
      <c r="B18" s="112" t="s">
        <v>227</v>
      </c>
      <c r="C18" s="112" t="s">
        <v>238</v>
      </c>
      <c r="D18" s="113" t="s">
        <v>243</v>
      </c>
      <c r="E18" s="112" t="s">
        <v>60</v>
      </c>
      <c r="F18" s="112">
        <v>78.0</v>
      </c>
      <c r="G18" s="114">
        <v>2.0</v>
      </c>
      <c r="H18" s="112" t="s">
        <v>327</v>
      </c>
      <c r="J18" s="123"/>
      <c r="V18" s="90">
        <v>16.0</v>
      </c>
      <c r="W18" s="96" t="s">
        <v>230</v>
      </c>
      <c r="X18" s="104" t="s">
        <v>238</v>
      </c>
      <c r="Y18" s="105">
        <v>3.0</v>
      </c>
    </row>
    <row r="19" ht="15.75" customHeight="1">
      <c r="A19" s="90">
        <v>18.0</v>
      </c>
      <c r="B19" s="96" t="s">
        <v>232</v>
      </c>
      <c r="C19" s="104" t="s">
        <v>238</v>
      </c>
      <c r="D19" s="118">
        <v>1.0</v>
      </c>
      <c r="E19" s="104" t="s">
        <v>60</v>
      </c>
      <c r="F19" s="104">
        <v>70.0</v>
      </c>
      <c r="G19" s="105">
        <v>2.0</v>
      </c>
      <c r="H19" s="104" t="s">
        <v>327</v>
      </c>
      <c r="J19" s="91"/>
      <c r="K19" s="124" t="s">
        <v>332</v>
      </c>
      <c r="L19" s="99"/>
      <c r="M19" s="125"/>
      <c r="N19" s="99"/>
      <c r="V19" s="90">
        <v>17.0</v>
      </c>
      <c r="W19" s="96" t="s">
        <v>231</v>
      </c>
      <c r="X19" s="104" t="s">
        <v>238</v>
      </c>
      <c r="Y19" s="105">
        <v>2.0</v>
      </c>
    </row>
    <row r="20" ht="15.75" customHeight="1">
      <c r="A20" s="111">
        <v>19.0</v>
      </c>
      <c r="B20" s="112" t="s">
        <v>227</v>
      </c>
      <c r="C20" s="112" t="s">
        <v>238</v>
      </c>
      <c r="D20" s="117">
        <v>45047.0</v>
      </c>
      <c r="E20" s="112" t="s">
        <v>326</v>
      </c>
      <c r="F20" s="112">
        <v>50.0</v>
      </c>
      <c r="G20" s="114">
        <v>1.0</v>
      </c>
      <c r="H20" s="112" t="s">
        <v>327</v>
      </c>
      <c r="J20" s="126" t="s">
        <v>333</v>
      </c>
      <c r="K20" s="126" t="s">
        <v>334</v>
      </c>
      <c r="L20" s="126" t="s">
        <v>327</v>
      </c>
      <c r="M20" s="126" t="s">
        <v>335</v>
      </c>
      <c r="N20" s="126" t="s">
        <v>336</v>
      </c>
      <c r="V20" s="90">
        <v>18.0</v>
      </c>
      <c r="W20" s="96" t="s">
        <v>232</v>
      </c>
      <c r="X20" s="104" t="s">
        <v>238</v>
      </c>
      <c r="Y20" s="105">
        <v>2.0</v>
      </c>
    </row>
    <row r="21" ht="15.75" customHeight="1">
      <c r="A21" s="127">
        <v>21.0</v>
      </c>
      <c r="B21" s="101" t="s">
        <v>59</v>
      </c>
      <c r="C21" s="101" t="s">
        <v>240</v>
      </c>
      <c r="D21" s="102">
        <v>1.0</v>
      </c>
      <c r="E21" s="101" t="s">
        <v>60</v>
      </c>
      <c r="F21" s="101">
        <v>83.0</v>
      </c>
      <c r="G21" s="103">
        <v>2.0</v>
      </c>
      <c r="H21" s="101" t="s">
        <v>327</v>
      </c>
      <c r="J21" s="96">
        <f>COUNTIF(C3:C26,"MAIZ")</f>
        <v>19</v>
      </c>
      <c r="K21" s="96" t="s">
        <v>238</v>
      </c>
      <c r="L21" s="97">
        <v>15.0</v>
      </c>
      <c r="M21" s="97">
        <v>4.0</v>
      </c>
      <c r="N21" s="128">
        <f>AVERAGE(G3:G22)</f>
        <v>2</v>
      </c>
      <c r="O21" s="86"/>
      <c r="P21" s="126" t="s">
        <v>337</v>
      </c>
      <c r="Q21" s="126" t="s">
        <v>328</v>
      </c>
      <c r="R21" s="126" t="s">
        <v>334</v>
      </c>
      <c r="S21" s="126" t="s">
        <v>328</v>
      </c>
      <c r="V21" s="90">
        <v>19.0</v>
      </c>
      <c r="W21" s="96" t="s">
        <v>233</v>
      </c>
      <c r="X21" s="104" t="s">
        <v>238</v>
      </c>
      <c r="Y21" s="105">
        <v>1.0</v>
      </c>
    </row>
    <row r="22" ht="15.75" customHeight="1">
      <c r="A22" s="129">
        <v>22.0</v>
      </c>
      <c r="B22" s="130" t="s">
        <v>234</v>
      </c>
      <c r="C22" s="130" t="s">
        <v>238</v>
      </c>
      <c r="D22" s="131">
        <v>1.0</v>
      </c>
      <c r="E22" s="130" t="s">
        <v>326</v>
      </c>
      <c r="F22" s="130">
        <v>98.0</v>
      </c>
      <c r="G22" s="132">
        <v>2.0</v>
      </c>
      <c r="H22" s="130" t="s">
        <v>246</v>
      </c>
      <c r="J22" s="96">
        <f>COUNTIF(C3:C26,"SORGO")</f>
        <v>3</v>
      </c>
      <c r="K22" s="96" t="s">
        <v>240</v>
      </c>
      <c r="L22" s="97">
        <v>3.0</v>
      </c>
      <c r="M22" s="97">
        <v>0.0</v>
      </c>
      <c r="N22" s="97">
        <f>AVERAGE(G23:G24,C21)</f>
        <v>1.25</v>
      </c>
      <c r="O22" s="86"/>
      <c r="P22" s="133" t="s">
        <v>59</v>
      </c>
      <c r="Q22" s="97">
        <f>AVERAGEIF(B3:B25,"BIOPRO",G3:G26)</f>
        <v>1.785714286</v>
      </c>
      <c r="R22" s="96" t="s">
        <v>238</v>
      </c>
      <c r="S22" s="96">
        <f>AVERAGEIF($C$3:$C$26,"MAIZ",$G$3:$G$26)</f>
        <v>2</v>
      </c>
      <c r="V22" s="90">
        <v>22.0</v>
      </c>
      <c r="W22" s="134" t="s">
        <v>183</v>
      </c>
      <c r="X22" s="104" t="s">
        <v>238</v>
      </c>
      <c r="Y22" s="105">
        <v>2.0</v>
      </c>
    </row>
    <row r="23" ht="15.75" customHeight="1">
      <c r="A23" s="100">
        <v>20.0</v>
      </c>
      <c r="B23" s="101" t="s">
        <v>59</v>
      </c>
      <c r="C23" s="101" t="s">
        <v>240</v>
      </c>
      <c r="D23" s="102" t="s">
        <v>243</v>
      </c>
      <c r="E23" s="101" t="s">
        <v>60</v>
      </c>
      <c r="F23" s="101">
        <v>80.0</v>
      </c>
      <c r="G23" s="102">
        <v>1.5</v>
      </c>
      <c r="H23" s="101" t="s">
        <v>327</v>
      </c>
      <c r="J23" s="96">
        <f>COUNTIF(C3:C26,"ARROZ")</f>
        <v>2</v>
      </c>
      <c r="K23" s="96" t="s">
        <v>241</v>
      </c>
      <c r="L23" s="97">
        <v>1.0</v>
      </c>
      <c r="M23" s="97">
        <v>2.0</v>
      </c>
      <c r="N23" s="97">
        <f>AVERAGE(G25:G26)</f>
        <v>3</v>
      </c>
      <c r="O23" s="86"/>
      <c r="P23" s="133" t="s">
        <v>227</v>
      </c>
      <c r="Q23" s="97">
        <f>AVERAGEIF(B3:B26,"BIOAMIGO",G3:G26)</f>
        <v>2</v>
      </c>
      <c r="R23" s="96" t="s">
        <v>240</v>
      </c>
      <c r="S23" s="96">
        <f>AVERAGEIF($C$3:$C$26,"SORGO",$G$3:$G$26)</f>
        <v>1.5</v>
      </c>
      <c r="V23" s="90">
        <v>21.0</v>
      </c>
      <c r="W23" s="96" t="s">
        <v>59</v>
      </c>
      <c r="X23" s="104" t="s">
        <v>240</v>
      </c>
      <c r="Y23" s="105">
        <v>2.0</v>
      </c>
    </row>
    <row r="24" ht="15.75" customHeight="1">
      <c r="A24" s="135">
        <v>24.0</v>
      </c>
      <c r="B24" s="136" t="s">
        <v>234</v>
      </c>
      <c r="C24" s="136" t="s">
        <v>240</v>
      </c>
      <c r="D24" s="137">
        <v>1.0</v>
      </c>
      <c r="E24" s="136" t="s">
        <v>326</v>
      </c>
      <c r="F24" s="136"/>
      <c r="G24" s="132">
        <v>1.0</v>
      </c>
      <c r="H24" s="130" t="s">
        <v>327</v>
      </c>
      <c r="J24" s="126" t="s">
        <v>333</v>
      </c>
      <c r="K24" s="126" t="s">
        <v>337</v>
      </c>
      <c r="L24" s="126" t="s">
        <v>327</v>
      </c>
      <c r="M24" s="126" t="s">
        <v>335</v>
      </c>
      <c r="N24" s="126" t="s">
        <v>336</v>
      </c>
      <c r="P24" s="133" t="s">
        <v>338</v>
      </c>
      <c r="Q24" s="97">
        <f>AVERAGE(G13,G16,G19)</f>
        <v>2</v>
      </c>
      <c r="R24" s="96" t="s">
        <v>241</v>
      </c>
      <c r="S24" s="96">
        <f>AVERAGEIF($C$3:$C$26,"ARROZ",$G$3:$G$26)</f>
        <v>3</v>
      </c>
      <c r="V24" s="90">
        <v>20.0</v>
      </c>
      <c r="W24" s="96" t="s">
        <v>59</v>
      </c>
      <c r="X24" s="138" t="s">
        <v>240</v>
      </c>
      <c r="Y24" s="139">
        <v>1.5</v>
      </c>
    </row>
    <row r="25" ht="15.75" customHeight="1">
      <c r="A25" s="140">
        <v>25.0</v>
      </c>
      <c r="B25" s="141" t="s">
        <v>236</v>
      </c>
      <c r="C25" s="141" t="s">
        <v>241</v>
      </c>
      <c r="D25" s="142">
        <v>1.0</v>
      </c>
      <c r="E25" s="141" t="s">
        <v>326</v>
      </c>
      <c r="F25" s="141">
        <v>190.0</v>
      </c>
      <c r="G25" s="143">
        <v>3.0</v>
      </c>
      <c r="H25" s="144" t="s">
        <v>246</v>
      </c>
      <c r="J25" s="133">
        <f>COUNTIF(B3:B26,"BIOPRO")</f>
        <v>9</v>
      </c>
      <c r="K25" s="133" t="s">
        <v>59</v>
      </c>
      <c r="L25" s="97">
        <v>9.0</v>
      </c>
      <c r="M25" s="97">
        <v>0.0</v>
      </c>
      <c r="N25" s="97">
        <f>AVERAGE(G4:G11,G23,G21)</f>
        <v>1.785714286</v>
      </c>
      <c r="P25" s="106" t="s">
        <v>183</v>
      </c>
      <c r="Q25" s="97">
        <f>AVERAGEIF(B3:B26,"ORGOSANTO",G3:G28)</f>
        <v>1.5</v>
      </c>
      <c r="R25" s="99"/>
      <c r="S25" s="99"/>
      <c r="V25" s="145">
        <v>24.0</v>
      </c>
      <c r="W25" s="134" t="s">
        <v>183</v>
      </c>
      <c r="X25" s="146" t="s">
        <v>240</v>
      </c>
      <c r="Y25" s="147">
        <v>1.0</v>
      </c>
    </row>
    <row r="26" ht="15.75" customHeight="1">
      <c r="A26" s="148">
        <v>23.0</v>
      </c>
      <c r="B26" s="149" t="s">
        <v>235</v>
      </c>
      <c r="C26" s="149" t="s">
        <v>241</v>
      </c>
      <c r="D26" s="150" t="s">
        <v>243</v>
      </c>
      <c r="E26" s="149" t="s">
        <v>326</v>
      </c>
      <c r="F26" s="149">
        <v>150.0</v>
      </c>
      <c r="G26" s="151">
        <v>3.0</v>
      </c>
      <c r="H26" s="152" t="s">
        <v>327</v>
      </c>
      <c r="J26" s="133">
        <f>COUNTIF(B3:B26,"BIOAMIGO")</f>
        <v>7</v>
      </c>
      <c r="K26" s="133" t="s">
        <v>227</v>
      </c>
      <c r="L26" s="97">
        <v>5.0</v>
      </c>
      <c r="M26" s="97">
        <v>2.0</v>
      </c>
      <c r="N26" s="97">
        <f>AVERAGE(G11:G12,G14,G15,G17:G18,G20)</f>
        <v>2</v>
      </c>
      <c r="P26" s="133" t="s">
        <v>236</v>
      </c>
      <c r="Q26" s="97">
        <f>AVERAGEIF(B3:B26,"CROP PLUS",G3:G26)</f>
        <v>3</v>
      </c>
      <c r="R26" s="99"/>
      <c r="S26" s="99"/>
      <c r="V26" s="145"/>
      <c r="W26" s="153"/>
      <c r="X26" s="154"/>
      <c r="Y26" s="155"/>
    </row>
    <row r="27" ht="15.75" customHeight="1">
      <c r="J27" s="133">
        <v>3.0</v>
      </c>
      <c r="K27" s="133" t="s">
        <v>338</v>
      </c>
      <c r="L27" s="97">
        <v>2.0</v>
      </c>
      <c r="M27" s="97">
        <v>1.0</v>
      </c>
      <c r="N27" s="97">
        <f>AVERAGE(G13,G16,G19)</f>
        <v>2</v>
      </c>
      <c r="P27" s="133" t="s">
        <v>235</v>
      </c>
      <c r="Q27" s="97">
        <f>AVERAGEIF(B3:B26,"ALBAMIN",G3:G26)</f>
        <v>3</v>
      </c>
      <c r="R27" s="99"/>
      <c r="S27" s="99"/>
      <c r="V27" s="145">
        <v>25.0</v>
      </c>
      <c r="W27" s="153" t="s">
        <v>236</v>
      </c>
      <c r="X27" s="154" t="s">
        <v>241</v>
      </c>
      <c r="Y27" s="155">
        <v>3.0</v>
      </c>
    </row>
    <row r="28" ht="15.75" customHeight="1">
      <c r="B28" s="156" t="s">
        <v>339</v>
      </c>
      <c r="C28" s="157">
        <f>MODE(D3:D26)</f>
        <v>1</v>
      </c>
      <c r="F28" s="28">
        <f>AVERAGEA(F3:F26,F22)</f>
        <v>84.66666667</v>
      </c>
      <c r="G28" s="158">
        <f>AVERAGE(G3:G26)</f>
        <v>2.023809524</v>
      </c>
      <c r="J28" s="133">
        <f>COUNTIF(B3:B26,"ORGOSANTO")</f>
        <v>2</v>
      </c>
      <c r="K28" s="106" t="s">
        <v>183</v>
      </c>
      <c r="L28" s="97">
        <v>1.0</v>
      </c>
      <c r="M28" s="97">
        <v>1.0</v>
      </c>
      <c r="N28" s="97">
        <f>AVERAGE(G22,G24)</f>
        <v>1.5</v>
      </c>
      <c r="P28" s="106" t="s">
        <v>331</v>
      </c>
      <c r="Q28" s="97">
        <f>AVERAGEIF(B3:B26,"NITROESTEN",G3:G26)</f>
        <v>3</v>
      </c>
      <c r="R28" s="99"/>
      <c r="S28" s="99"/>
      <c r="V28" s="145">
        <v>23.0</v>
      </c>
      <c r="W28" s="153" t="s">
        <v>235</v>
      </c>
      <c r="X28" s="154" t="s">
        <v>241</v>
      </c>
      <c r="Y28" s="155">
        <v>3.0</v>
      </c>
    </row>
    <row r="29" ht="15.75" customHeight="1">
      <c r="B29" s="28"/>
      <c r="C29" s="86"/>
      <c r="D29" s="158"/>
      <c r="E29" s="86"/>
      <c r="G29" s="28">
        <f>MODE(G3:G26)</f>
        <v>2</v>
      </c>
      <c r="J29" s="133">
        <f>COUNTIF(B3:B26,"CROP PLUS")</f>
        <v>1</v>
      </c>
      <c r="K29" s="133" t="s">
        <v>236</v>
      </c>
      <c r="L29" s="97">
        <v>0.0</v>
      </c>
      <c r="M29" s="97">
        <v>1.0</v>
      </c>
      <c r="N29" s="97">
        <v>3.0</v>
      </c>
      <c r="R29" s="99"/>
      <c r="S29" s="99"/>
      <c r="Y29" s="158">
        <f>AVERAGE(Y4:Y28)</f>
        <v>2.023809524</v>
      </c>
    </row>
    <row r="30" ht="15.75" customHeight="1">
      <c r="J30" s="133">
        <f>COUNTIF(B3:B26,"ALBAMIN")</f>
        <v>1</v>
      </c>
      <c r="K30" s="133" t="s">
        <v>235</v>
      </c>
      <c r="L30" s="97">
        <v>1.0</v>
      </c>
      <c r="M30" s="97">
        <v>0.0</v>
      </c>
      <c r="N30" s="97">
        <v>3.0</v>
      </c>
    </row>
    <row r="31" ht="15.75" customHeight="1">
      <c r="B31" s="159" t="s">
        <v>340</v>
      </c>
      <c r="C31" s="159" t="s">
        <v>341</v>
      </c>
      <c r="D31" s="159" t="s">
        <v>342</v>
      </c>
      <c r="J31" s="96">
        <f>COUNTIF(B3:B26,"NITROESTEN")</f>
        <v>1</v>
      </c>
      <c r="K31" s="106" t="s">
        <v>331</v>
      </c>
      <c r="L31" s="97">
        <v>1.0</v>
      </c>
      <c r="M31" s="97">
        <v>0.0</v>
      </c>
      <c r="N31" s="97">
        <v>3.0</v>
      </c>
    </row>
    <row r="32" ht="15.75" customHeight="1">
      <c r="B32" s="156" t="s">
        <v>238</v>
      </c>
      <c r="C32" s="160">
        <f t="shared" ref="C32:C41" si="1">D32/24</f>
        <v>0.7916666667</v>
      </c>
      <c r="D32" s="157">
        <v>19.0</v>
      </c>
      <c r="K32" s="161" t="s">
        <v>343</v>
      </c>
      <c r="L32" s="162" t="s">
        <v>344</v>
      </c>
      <c r="M32" s="163">
        <v>5.0</v>
      </c>
    </row>
    <row r="33" ht="15.75" customHeight="1">
      <c r="B33" s="156" t="s">
        <v>240</v>
      </c>
      <c r="C33" s="160">
        <f t="shared" si="1"/>
        <v>0.08333333333</v>
      </c>
      <c r="D33" s="157">
        <v>2.0</v>
      </c>
    </row>
    <row r="34" ht="15.75" customHeight="1">
      <c r="B34" s="156" t="s">
        <v>241</v>
      </c>
      <c r="C34" s="160">
        <f t="shared" si="1"/>
        <v>0.08333333333</v>
      </c>
      <c r="D34" s="157">
        <v>2.0</v>
      </c>
      <c r="L34" s="164"/>
    </row>
    <row r="35" ht="15.75" customHeight="1">
      <c r="B35" s="156" t="s">
        <v>345</v>
      </c>
      <c r="C35" s="160">
        <f t="shared" si="1"/>
        <v>0.4583333333</v>
      </c>
      <c r="D35" s="157">
        <v>11.0</v>
      </c>
      <c r="L35" s="126" t="s">
        <v>327</v>
      </c>
      <c r="M35" s="126" t="s">
        <v>335</v>
      </c>
    </row>
    <row r="36" ht="15.75" customHeight="1">
      <c r="B36" s="156" t="s">
        <v>346</v>
      </c>
      <c r="C36" s="160">
        <f t="shared" si="1"/>
        <v>0.5416666667</v>
      </c>
      <c r="D36" s="157">
        <v>13.0</v>
      </c>
      <c r="L36" s="165">
        <f>COUNTIF(H3:H26,"DISMINUCIÓN")</f>
        <v>19</v>
      </c>
      <c r="M36" s="165">
        <f>COUNTIF(H3:H26,"X")</f>
        <v>5</v>
      </c>
    </row>
    <row r="37" ht="15.75" customHeight="1">
      <c r="B37" s="156" t="s">
        <v>347</v>
      </c>
      <c r="C37" s="160">
        <f t="shared" si="1"/>
        <v>0.7916666667</v>
      </c>
      <c r="D37" s="157">
        <v>19.0</v>
      </c>
    </row>
    <row r="38" ht="15.75" customHeight="1">
      <c r="B38" s="156" t="s">
        <v>348</v>
      </c>
      <c r="C38" s="160">
        <f t="shared" si="1"/>
        <v>0.2083333333</v>
      </c>
      <c r="D38" s="157">
        <v>5.0</v>
      </c>
      <c r="J38" s="126" t="s">
        <v>333</v>
      </c>
      <c r="K38" s="126" t="s">
        <v>237</v>
      </c>
      <c r="L38" s="126" t="s">
        <v>349</v>
      </c>
    </row>
    <row r="39" ht="15.75" customHeight="1">
      <c r="B39" s="156" t="s">
        <v>350</v>
      </c>
      <c r="C39" s="160">
        <f t="shared" si="1"/>
        <v>0.3333333333</v>
      </c>
      <c r="D39" s="165">
        <v>8.0</v>
      </c>
      <c r="J39" s="165">
        <f>COUNTIF($C$3:$C$26,"MAIZ")</f>
        <v>19</v>
      </c>
      <c r="K39" s="165" t="s">
        <v>238</v>
      </c>
      <c r="L39" s="166">
        <f>AVERAGE(L3:L9)</f>
        <v>79.14285714</v>
      </c>
    </row>
    <row r="40" ht="15.75" customHeight="1">
      <c r="B40" s="156" t="s">
        <v>351</v>
      </c>
      <c r="C40" s="160">
        <f t="shared" si="1"/>
        <v>0.5</v>
      </c>
      <c r="D40" s="165">
        <v>12.0</v>
      </c>
      <c r="J40" s="165">
        <f>COUNTIF($C$3:$C$26,"ARROZ")</f>
        <v>2</v>
      </c>
      <c r="K40" s="165" t="s">
        <v>241</v>
      </c>
      <c r="L40" s="165">
        <f>AVERAGE(F25:F26)</f>
        <v>170</v>
      </c>
    </row>
    <row r="41" ht="15.75" customHeight="1">
      <c r="B41" s="156" t="s">
        <v>352</v>
      </c>
      <c r="C41" s="160">
        <f t="shared" si="1"/>
        <v>0.125</v>
      </c>
      <c r="D41" s="165">
        <v>3.0</v>
      </c>
      <c r="J41" s="165">
        <f>COUNTIF($C$3:$C$26,"SORGO")</f>
        <v>3</v>
      </c>
      <c r="K41" s="165" t="s">
        <v>240</v>
      </c>
      <c r="L41" s="165">
        <v>37.0</v>
      </c>
    </row>
    <row r="42" ht="15.75" customHeight="1"/>
    <row r="43" ht="15.75" customHeight="1">
      <c r="B43" s="167" t="s">
        <v>353</v>
      </c>
      <c r="C43" s="168">
        <f>((F28-50)/50)</f>
        <v>0.6933333333</v>
      </c>
    </row>
    <row r="44" ht="15.75" customHeight="1"/>
    <row r="45" ht="15.75" customHeight="1"/>
    <row r="46" ht="15.75" customHeight="1">
      <c r="L46" s="164"/>
    </row>
    <row r="47" ht="15.75" customHeight="1">
      <c r="L47" s="16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H1:H2"/>
    <mergeCell ref="K1:N1"/>
    <mergeCell ref="V2:V3"/>
    <mergeCell ref="W2:W3"/>
    <mergeCell ref="X2:X3"/>
    <mergeCell ref="Y2:Y3"/>
    <mergeCell ref="J10:K10"/>
    <mergeCell ref="J11:K11"/>
    <mergeCell ref="J17:K17"/>
    <mergeCell ref="J18:K18"/>
    <mergeCell ref="A1:A2"/>
    <mergeCell ref="B1:B2"/>
    <mergeCell ref="C1:C2"/>
    <mergeCell ref="D1:D2"/>
    <mergeCell ref="E1:E2"/>
    <mergeCell ref="F1:F2"/>
    <mergeCell ref="G1:G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2.0"/>
    <col customWidth="1" min="3" max="6" width="12.63"/>
    <col customWidth="1" min="7" max="7" width="14.75"/>
    <col customWidth="1" min="8" max="8" width="7.25"/>
    <col customWidth="1" min="9" max="9" width="3.25"/>
    <col customWidth="1" min="10" max="10" width="24.25"/>
    <col customWidth="1" min="11" max="11" width="18.75"/>
    <col customWidth="1" min="12" max="12" width="19.5"/>
    <col customWidth="1" min="13" max="13" width="13.25"/>
  </cols>
  <sheetData>
    <row r="1" ht="15.75" customHeight="1">
      <c r="D1" s="28" t="s">
        <v>354</v>
      </c>
    </row>
    <row r="2" ht="15.75" customHeight="1">
      <c r="J2" s="169" t="s">
        <v>34</v>
      </c>
      <c r="K2" s="169">
        <v>1.0</v>
      </c>
      <c r="L2" s="170" t="s">
        <v>355</v>
      </c>
      <c r="M2" s="80"/>
    </row>
    <row r="3" ht="15.75" customHeight="1">
      <c r="B3" s="169" t="s">
        <v>34</v>
      </c>
      <c r="C3" s="169">
        <v>1.0</v>
      </c>
      <c r="D3" s="170" t="s">
        <v>356</v>
      </c>
      <c r="E3" s="80"/>
      <c r="J3" s="169" t="s">
        <v>357</v>
      </c>
      <c r="K3" s="169">
        <v>2.0</v>
      </c>
      <c r="L3" s="171" t="s">
        <v>358</v>
      </c>
      <c r="M3" s="171" t="s">
        <v>359</v>
      </c>
    </row>
    <row r="4" ht="15.75" customHeight="1">
      <c r="B4" s="169" t="s">
        <v>357</v>
      </c>
      <c r="C4" s="169">
        <v>2.0</v>
      </c>
      <c r="D4" s="172" t="s">
        <v>358</v>
      </c>
      <c r="E4" s="172" t="s">
        <v>360</v>
      </c>
      <c r="J4" s="173" t="s">
        <v>37</v>
      </c>
      <c r="K4" s="173">
        <v>3.0</v>
      </c>
      <c r="L4" s="174" t="s">
        <v>361</v>
      </c>
      <c r="M4" s="174" t="s">
        <v>362</v>
      </c>
    </row>
    <row r="5" ht="15.75" customHeight="1">
      <c r="B5" s="173" t="s">
        <v>37</v>
      </c>
      <c r="C5" s="173">
        <v>3.0</v>
      </c>
      <c r="D5" s="174" t="s">
        <v>361</v>
      </c>
      <c r="E5" s="174" t="s">
        <v>363</v>
      </c>
      <c r="J5" s="175" t="s">
        <v>36</v>
      </c>
      <c r="K5" s="175">
        <v>4.0</v>
      </c>
      <c r="L5" s="176" t="s">
        <v>289</v>
      </c>
      <c r="M5" s="176" t="s">
        <v>364</v>
      </c>
    </row>
    <row r="6" ht="15.75" customHeight="1">
      <c r="B6" s="175" t="s">
        <v>36</v>
      </c>
      <c r="C6" s="175">
        <v>4.0</v>
      </c>
      <c r="D6" s="169" t="s">
        <v>289</v>
      </c>
      <c r="E6" s="169" t="s">
        <v>365</v>
      </c>
      <c r="J6" s="175" t="s">
        <v>366</v>
      </c>
      <c r="K6" s="175">
        <v>5.0</v>
      </c>
    </row>
    <row r="7" ht="15.75" customHeight="1">
      <c r="B7" s="175" t="s">
        <v>366</v>
      </c>
      <c r="C7" s="175">
        <v>5.0</v>
      </c>
    </row>
    <row r="8" ht="15.75" customHeight="1"/>
    <row r="9" ht="15.75" customHeight="1"/>
    <row r="10" ht="15.75" customHeight="1">
      <c r="A10" s="177" t="s">
        <v>367</v>
      </c>
      <c r="B10" s="178"/>
      <c r="C10" s="177">
        <v>1.0</v>
      </c>
      <c r="D10" s="177">
        <v>2.0</v>
      </c>
      <c r="E10" s="177">
        <v>3.0</v>
      </c>
      <c r="F10" s="177">
        <v>4.0</v>
      </c>
      <c r="G10" s="177">
        <v>5.0</v>
      </c>
      <c r="I10" s="177" t="s">
        <v>367</v>
      </c>
      <c r="J10" s="178"/>
      <c r="K10" s="177">
        <v>1.0</v>
      </c>
      <c r="L10" s="177">
        <v>2.0</v>
      </c>
      <c r="M10" s="177">
        <v>3.0</v>
      </c>
      <c r="N10" s="177">
        <v>4.0</v>
      </c>
      <c r="O10" s="177">
        <v>5.0</v>
      </c>
    </row>
    <row r="11" ht="15.75" customHeight="1">
      <c r="A11" s="178"/>
      <c r="B11" s="178"/>
      <c r="C11" s="177" t="s">
        <v>34</v>
      </c>
      <c r="D11" s="177" t="s">
        <v>104</v>
      </c>
      <c r="E11" s="177" t="s">
        <v>37</v>
      </c>
      <c r="F11" s="177" t="s">
        <v>36</v>
      </c>
      <c r="G11" s="177" t="s">
        <v>35</v>
      </c>
      <c r="I11" s="178"/>
      <c r="J11" s="178"/>
      <c r="K11" s="177" t="s">
        <v>34</v>
      </c>
      <c r="L11" s="177" t="s">
        <v>104</v>
      </c>
      <c r="M11" s="177" t="s">
        <v>37</v>
      </c>
      <c r="N11" s="177" t="s">
        <v>36</v>
      </c>
      <c r="O11" s="177" t="s">
        <v>35</v>
      </c>
    </row>
    <row r="12" ht="15.75" customHeight="1">
      <c r="A12" s="179">
        <v>1.0</v>
      </c>
      <c r="B12" s="179" t="s">
        <v>368</v>
      </c>
      <c r="C12" s="180" t="s">
        <v>369</v>
      </c>
      <c r="D12" s="181" t="s">
        <v>370</v>
      </c>
      <c r="E12" s="182" t="s">
        <v>251</v>
      </c>
      <c r="F12" s="183">
        <v>2.0</v>
      </c>
      <c r="G12" s="183">
        <v>1.0</v>
      </c>
      <c r="I12" s="179">
        <v>1.0</v>
      </c>
      <c r="J12" s="179" t="s">
        <v>371</v>
      </c>
      <c r="K12" s="183" t="s">
        <v>369</v>
      </c>
      <c r="L12" s="184" t="s">
        <v>370</v>
      </c>
      <c r="M12" s="185"/>
      <c r="N12" s="180">
        <v>2.0</v>
      </c>
      <c r="O12" s="180">
        <v>1.0</v>
      </c>
    </row>
    <row r="13" ht="15.75" customHeight="1">
      <c r="A13" s="179">
        <v>2.0</v>
      </c>
      <c r="B13" s="179" t="s">
        <v>372</v>
      </c>
      <c r="C13" s="183">
        <v>1.0</v>
      </c>
      <c r="D13" s="183">
        <v>2.0</v>
      </c>
      <c r="E13" s="186"/>
      <c r="F13" s="180" t="s">
        <v>370</v>
      </c>
      <c r="G13" s="180" t="s">
        <v>369</v>
      </c>
      <c r="I13" s="179">
        <v>2.0</v>
      </c>
      <c r="J13" s="179" t="s">
        <v>373</v>
      </c>
      <c r="K13" s="183" t="s">
        <v>369</v>
      </c>
      <c r="L13" s="183" t="s">
        <v>370</v>
      </c>
      <c r="M13" s="185"/>
      <c r="N13" s="180">
        <v>2.0</v>
      </c>
      <c r="O13" s="180">
        <v>1.0</v>
      </c>
    </row>
    <row r="14" ht="15.75" customHeight="1">
      <c r="A14" s="179">
        <v>3.0</v>
      </c>
      <c r="B14" s="179" t="s">
        <v>374</v>
      </c>
      <c r="C14" s="183">
        <v>1.0</v>
      </c>
      <c r="D14" s="183">
        <v>2.0</v>
      </c>
      <c r="E14" s="182"/>
      <c r="F14" s="181" t="s">
        <v>370</v>
      </c>
      <c r="G14" s="180" t="s">
        <v>369</v>
      </c>
      <c r="I14" s="179">
        <v>3.0</v>
      </c>
      <c r="J14" s="179" t="s">
        <v>375</v>
      </c>
      <c r="K14" s="183" t="s">
        <v>369</v>
      </c>
      <c r="L14" s="183" t="s">
        <v>370</v>
      </c>
      <c r="M14" s="185"/>
      <c r="N14" s="180">
        <v>2.0</v>
      </c>
      <c r="O14" s="180">
        <v>1.0</v>
      </c>
    </row>
    <row r="15" ht="15.75" customHeight="1">
      <c r="A15" s="179">
        <v>4.0</v>
      </c>
      <c r="B15" s="179" t="s">
        <v>376</v>
      </c>
      <c r="C15" s="183">
        <v>1.0</v>
      </c>
      <c r="D15" s="183">
        <v>2.0</v>
      </c>
      <c r="E15" s="182"/>
      <c r="F15" s="180" t="s">
        <v>370</v>
      </c>
      <c r="G15" s="181" t="s">
        <v>369</v>
      </c>
      <c r="I15" s="179">
        <v>4.0</v>
      </c>
      <c r="J15" s="179" t="s">
        <v>377</v>
      </c>
      <c r="K15" s="183" t="s">
        <v>369</v>
      </c>
      <c r="L15" s="183" t="s">
        <v>370</v>
      </c>
      <c r="M15" s="185"/>
      <c r="N15" s="180">
        <v>2.0</v>
      </c>
      <c r="O15" s="180">
        <v>1.0</v>
      </c>
    </row>
    <row r="16" ht="15.75" customHeight="1">
      <c r="A16" s="179">
        <v>5.0</v>
      </c>
      <c r="B16" s="179" t="s">
        <v>378</v>
      </c>
      <c r="C16" s="183">
        <v>1.0</v>
      </c>
      <c r="D16" s="183">
        <v>2.0</v>
      </c>
      <c r="E16" s="182"/>
      <c r="F16" s="180" t="s">
        <v>370</v>
      </c>
      <c r="G16" s="181" t="s">
        <v>369</v>
      </c>
      <c r="I16" s="179">
        <v>5.0</v>
      </c>
      <c r="J16" s="179" t="s">
        <v>379</v>
      </c>
      <c r="K16" s="183" t="s">
        <v>369</v>
      </c>
      <c r="L16" s="183" t="s">
        <v>370</v>
      </c>
      <c r="M16" s="185"/>
      <c r="N16" s="180">
        <v>2.0</v>
      </c>
      <c r="O16" s="180">
        <v>1.0</v>
      </c>
    </row>
    <row r="17" ht="15.75" customHeight="1">
      <c r="I17" s="179">
        <v>6.0</v>
      </c>
      <c r="J17" s="179" t="s">
        <v>380</v>
      </c>
      <c r="K17" s="183" t="s">
        <v>369</v>
      </c>
      <c r="L17" s="183" t="s">
        <v>370</v>
      </c>
      <c r="M17" s="185"/>
      <c r="N17" s="180">
        <v>2.0</v>
      </c>
      <c r="O17" s="180">
        <v>1.0</v>
      </c>
    </row>
    <row r="18" ht="15.75" customHeight="1">
      <c r="A18" s="165" t="s">
        <v>381</v>
      </c>
      <c r="B18" s="165" t="s">
        <v>382</v>
      </c>
      <c r="C18" s="165" t="s">
        <v>383</v>
      </c>
      <c r="D18" s="165" t="s">
        <v>384</v>
      </c>
      <c r="E18" s="187" t="s">
        <v>385</v>
      </c>
      <c r="F18" s="188" t="s">
        <v>386</v>
      </c>
      <c r="I18" s="179">
        <v>7.0</v>
      </c>
      <c r="J18" s="179" t="s">
        <v>387</v>
      </c>
      <c r="K18" s="183" t="s">
        <v>369</v>
      </c>
      <c r="L18" s="183" t="s">
        <v>370</v>
      </c>
      <c r="M18" s="185"/>
      <c r="N18" s="180">
        <v>2.0</v>
      </c>
      <c r="O18" s="180">
        <v>1.0</v>
      </c>
    </row>
    <row r="19" ht="15.75" customHeight="1">
      <c r="A19" s="165">
        <v>2.0</v>
      </c>
      <c r="B19" s="165">
        <v>18.0</v>
      </c>
      <c r="C19" s="165">
        <v>36.0</v>
      </c>
      <c r="D19" s="165" t="s">
        <v>238</v>
      </c>
      <c r="E19" s="189" t="s">
        <v>325</v>
      </c>
      <c r="F19" s="190" t="s">
        <v>388</v>
      </c>
      <c r="I19" s="179">
        <v>8.0</v>
      </c>
      <c r="J19" s="179" t="s">
        <v>389</v>
      </c>
      <c r="K19" s="183" t="s">
        <v>369</v>
      </c>
      <c r="L19" s="183" t="s">
        <v>370</v>
      </c>
      <c r="M19" s="185"/>
      <c r="N19" s="180">
        <v>2.0</v>
      </c>
      <c r="O19" s="180">
        <v>1.0</v>
      </c>
    </row>
    <row r="20" ht="15.75" customHeight="1">
      <c r="A20" s="165">
        <v>3.0</v>
      </c>
      <c r="B20" s="165">
        <v>19.0</v>
      </c>
      <c r="C20" s="165">
        <v>37.0</v>
      </c>
      <c r="D20" s="165" t="s">
        <v>238</v>
      </c>
      <c r="E20" s="189" t="s">
        <v>59</v>
      </c>
      <c r="F20" s="190" t="s">
        <v>388</v>
      </c>
    </row>
    <row r="21" ht="15.75" customHeight="1">
      <c r="A21" s="165">
        <v>4.0</v>
      </c>
      <c r="B21" s="165">
        <v>18.0</v>
      </c>
      <c r="C21" s="165">
        <v>37.0</v>
      </c>
      <c r="D21" s="165" t="s">
        <v>238</v>
      </c>
      <c r="E21" s="189" t="s">
        <v>59</v>
      </c>
      <c r="F21" s="190" t="s">
        <v>388</v>
      </c>
    </row>
    <row r="22" ht="15.75" customHeight="1">
      <c r="A22" s="165">
        <v>5.0</v>
      </c>
      <c r="B22" s="165">
        <v>21.0</v>
      </c>
      <c r="C22" s="165">
        <v>40.0</v>
      </c>
      <c r="D22" s="165" t="s">
        <v>238</v>
      </c>
      <c r="E22" s="189" t="s">
        <v>59</v>
      </c>
      <c r="F22" s="190" t="s">
        <v>388</v>
      </c>
      <c r="J22" s="191" t="s">
        <v>390</v>
      </c>
    </row>
    <row r="23" ht="15.75" customHeight="1">
      <c r="A23" s="165">
        <v>6.0</v>
      </c>
      <c r="B23" s="165">
        <v>18.0</v>
      </c>
      <c r="C23" s="165">
        <v>35.0</v>
      </c>
      <c r="D23" s="165" t="s">
        <v>238</v>
      </c>
      <c r="E23" s="189" t="s">
        <v>59</v>
      </c>
      <c r="F23" s="190" t="s">
        <v>388</v>
      </c>
      <c r="J23" s="165" t="s">
        <v>391</v>
      </c>
      <c r="K23" s="165" t="s">
        <v>341</v>
      </c>
      <c r="L23" s="165" t="s">
        <v>392</v>
      </c>
    </row>
    <row r="24" ht="15.75" customHeight="1">
      <c r="A24" s="165">
        <v>7.0</v>
      </c>
      <c r="B24" s="165">
        <v>17.0</v>
      </c>
      <c r="C24" s="165">
        <v>38.0</v>
      </c>
      <c r="D24" s="165" t="s">
        <v>238</v>
      </c>
      <c r="E24" s="192" t="s">
        <v>59</v>
      </c>
      <c r="F24" s="193" t="s">
        <v>393</v>
      </c>
      <c r="J24" s="165" t="s">
        <v>388</v>
      </c>
      <c r="K24" s="194">
        <f t="shared" ref="K24:K26" si="1">L24/24</f>
        <v>0.5416666667</v>
      </c>
      <c r="L24" s="195">
        <v>13.0</v>
      </c>
      <c r="Q24" s="28"/>
    </row>
    <row r="25" ht="15.75" customHeight="1">
      <c r="A25" s="165">
        <v>8.0</v>
      </c>
      <c r="B25" s="165">
        <v>17.0</v>
      </c>
      <c r="C25" s="165">
        <v>36.0</v>
      </c>
      <c r="D25" s="165" t="s">
        <v>238</v>
      </c>
      <c r="E25" s="192" t="s">
        <v>59</v>
      </c>
      <c r="F25" s="193" t="s">
        <v>393</v>
      </c>
      <c r="J25" s="165" t="s">
        <v>394</v>
      </c>
      <c r="K25" s="196">
        <f t="shared" si="1"/>
        <v>0.375</v>
      </c>
      <c r="L25" s="197">
        <v>9.0</v>
      </c>
      <c r="M25" s="165" t="s">
        <v>391</v>
      </c>
      <c r="N25" s="165" t="s">
        <v>395</v>
      </c>
      <c r="O25" s="165" t="s">
        <v>396</v>
      </c>
      <c r="Q25" s="86"/>
    </row>
    <row r="26" ht="15.75" customHeight="1">
      <c r="A26" s="165">
        <v>9.0</v>
      </c>
      <c r="B26" s="165">
        <v>19.0</v>
      </c>
      <c r="C26" s="165">
        <v>37.0</v>
      </c>
      <c r="D26" s="165" t="s">
        <v>238</v>
      </c>
      <c r="E26" s="189" t="s">
        <v>59</v>
      </c>
      <c r="F26" s="190" t="s">
        <v>388</v>
      </c>
      <c r="J26" s="165" t="s">
        <v>397</v>
      </c>
      <c r="K26" s="198">
        <f t="shared" si="1"/>
        <v>0.04166666667</v>
      </c>
      <c r="L26" s="199">
        <v>1.0</v>
      </c>
      <c r="M26" s="165" t="s">
        <v>388</v>
      </c>
      <c r="N26" s="194">
        <v>0.5416666666666666</v>
      </c>
      <c r="O26" s="168">
        <v>0.6666666666666666</v>
      </c>
      <c r="Q26" s="86"/>
    </row>
    <row r="27" ht="15.75" customHeight="1">
      <c r="A27" s="165">
        <v>10.0</v>
      </c>
      <c r="B27" s="165">
        <v>16.0</v>
      </c>
      <c r="C27" s="165">
        <v>30.0</v>
      </c>
      <c r="D27" s="165" t="s">
        <v>238</v>
      </c>
      <c r="E27" s="200" t="s">
        <v>227</v>
      </c>
      <c r="F27" s="201" t="s">
        <v>394</v>
      </c>
      <c r="J27" s="191" t="s">
        <v>398</v>
      </c>
      <c r="M27" s="165" t="s">
        <v>394</v>
      </c>
      <c r="N27" s="196">
        <v>0.375</v>
      </c>
      <c r="O27" s="168">
        <v>0.25</v>
      </c>
      <c r="Q27" s="86"/>
    </row>
    <row r="28" ht="15.75" customHeight="1">
      <c r="A28" s="165">
        <v>11.0</v>
      </c>
      <c r="B28" s="165">
        <v>19.0</v>
      </c>
      <c r="C28" s="165">
        <v>30.0</v>
      </c>
      <c r="D28" s="165" t="s">
        <v>238</v>
      </c>
      <c r="E28" s="192" t="s">
        <v>227</v>
      </c>
      <c r="F28" s="193" t="s">
        <v>393</v>
      </c>
      <c r="J28" s="165" t="s">
        <v>391</v>
      </c>
      <c r="K28" s="165" t="s">
        <v>341</v>
      </c>
      <c r="L28" s="165" t="s">
        <v>399</v>
      </c>
      <c r="M28" s="165" t="s">
        <v>397</v>
      </c>
      <c r="N28" s="198">
        <v>0.041666666666666664</v>
      </c>
      <c r="O28" s="168">
        <v>0.041666666666666664</v>
      </c>
    </row>
    <row r="29" ht="15.75" customHeight="1">
      <c r="A29" s="165">
        <v>12.0</v>
      </c>
      <c r="B29" s="165">
        <v>18.0</v>
      </c>
      <c r="C29" s="165">
        <v>32.0</v>
      </c>
      <c r="D29" s="165" t="s">
        <v>238</v>
      </c>
      <c r="E29" s="189" t="s">
        <v>400</v>
      </c>
      <c r="F29" s="190" t="s">
        <v>388</v>
      </c>
      <c r="J29" s="165" t="s">
        <v>388</v>
      </c>
      <c r="K29" s="202">
        <f t="shared" ref="K29:K31" si="2">L29/24</f>
        <v>0.6666666667</v>
      </c>
      <c r="L29" s="172">
        <v>16.0</v>
      </c>
    </row>
    <row r="30" ht="15.75" customHeight="1">
      <c r="A30" s="165">
        <v>13.0</v>
      </c>
      <c r="B30" s="165">
        <v>19.0</v>
      </c>
      <c r="C30" s="165">
        <v>34.0</v>
      </c>
      <c r="D30" s="165" t="s">
        <v>238</v>
      </c>
      <c r="E30" s="189" t="s">
        <v>227</v>
      </c>
      <c r="F30" s="190" t="s">
        <v>388</v>
      </c>
      <c r="J30" s="165" t="s">
        <v>394</v>
      </c>
      <c r="K30" s="196">
        <f t="shared" si="2"/>
        <v>0.25</v>
      </c>
      <c r="L30" s="197">
        <v>6.0</v>
      </c>
    </row>
    <row r="31" ht="15.75" customHeight="1">
      <c r="A31" s="165">
        <v>14.0</v>
      </c>
      <c r="B31" s="165">
        <v>20.0</v>
      </c>
      <c r="C31" s="165">
        <v>32.0</v>
      </c>
      <c r="D31" s="165" t="s">
        <v>238</v>
      </c>
      <c r="E31" s="189" t="s">
        <v>227</v>
      </c>
      <c r="F31" s="190" t="s">
        <v>388</v>
      </c>
      <c r="J31" s="165" t="s">
        <v>397</v>
      </c>
      <c r="K31" s="198">
        <f t="shared" si="2"/>
        <v>0.04166666667</v>
      </c>
      <c r="L31" s="199">
        <v>1.0</v>
      </c>
    </row>
    <row r="32" ht="15.75" customHeight="1">
      <c r="A32" s="165">
        <v>15.0</v>
      </c>
      <c r="B32" s="165">
        <v>13.0</v>
      </c>
      <c r="C32" s="165">
        <v>16.0</v>
      </c>
      <c r="D32" s="165" t="s">
        <v>238</v>
      </c>
      <c r="E32" s="203" t="s">
        <v>401</v>
      </c>
      <c r="F32" s="204" t="s">
        <v>397</v>
      </c>
    </row>
    <row r="33" ht="15.75" customHeight="1">
      <c r="A33" s="165">
        <v>16.0</v>
      </c>
      <c r="B33" s="165">
        <v>20.0</v>
      </c>
      <c r="C33" s="165">
        <v>32.0</v>
      </c>
      <c r="D33" s="165" t="s">
        <v>238</v>
      </c>
      <c r="E33" s="189" t="s">
        <v>227</v>
      </c>
      <c r="F33" s="190" t="s">
        <v>388</v>
      </c>
    </row>
    <row r="34" ht="15.75" customHeight="1">
      <c r="A34" s="165">
        <v>17.0</v>
      </c>
      <c r="B34" s="165">
        <v>15.0</v>
      </c>
      <c r="C34" s="165">
        <v>25.0</v>
      </c>
      <c r="D34" s="165" t="s">
        <v>238</v>
      </c>
      <c r="E34" s="205" t="s">
        <v>227</v>
      </c>
      <c r="F34" s="206" t="s">
        <v>394</v>
      </c>
    </row>
    <row r="35" ht="15.75" customHeight="1">
      <c r="A35" s="165">
        <v>18.0</v>
      </c>
      <c r="B35" s="165">
        <v>17.0</v>
      </c>
      <c r="C35" s="165">
        <v>26.0</v>
      </c>
      <c r="D35" s="165" t="s">
        <v>238</v>
      </c>
      <c r="E35" s="205" t="s">
        <v>402</v>
      </c>
      <c r="F35" s="206" t="s">
        <v>394</v>
      </c>
      <c r="J35" s="89" t="s">
        <v>403</v>
      </c>
    </row>
    <row r="36" ht="15.75" customHeight="1">
      <c r="A36" s="165">
        <v>19.0</v>
      </c>
      <c r="B36" s="165">
        <v>21.0</v>
      </c>
      <c r="C36" s="165">
        <v>36.0</v>
      </c>
      <c r="D36" s="165" t="s">
        <v>238</v>
      </c>
      <c r="E36" s="207" t="s">
        <v>227</v>
      </c>
      <c r="F36" s="190" t="s">
        <v>388</v>
      </c>
      <c r="I36" s="208" t="s">
        <v>333</v>
      </c>
      <c r="J36" s="208" t="s">
        <v>337</v>
      </c>
      <c r="K36" s="208" t="s">
        <v>397</v>
      </c>
      <c r="L36" s="208" t="s">
        <v>394</v>
      </c>
      <c r="M36" s="208" t="s">
        <v>393</v>
      </c>
      <c r="N36" s="208" t="s">
        <v>388</v>
      </c>
    </row>
    <row r="37" ht="15.75" customHeight="1">
      <c r="A37" s="165">
        <v>20.0</v>
      </c>
      <c r="B37" s="165">
        <v>16.0</v>
      </c>
      <c r="C37" s="165">
        <v>37.0</v>
      </c>
      <c r="D37" s="165" t="s">
        <v>240</v>
      </c>
      <c r="E37" s="192" t="s">
        <v>59</v>
      </c>
      <c r="F37" s="193" t="s">
        <v>393</v>
      </c>
      <c r="I37" s="165">
        <f>COUNTIF($E$19:$E$42,"BIOPRO")</f>
        <v>9</v>
      </c>
      <c r="J37" s="165" t="s">
        <v>59</v>
      </c>
      <c r="K37" s="165">
        <f>COUNTIFS($E$19:$E$42,"BIOPRO",$F$19:$F$42, "BAJO")</f>
        <v>0</v>
      </c>
      <c r="L37" s="165">
        <f>COUNTIFS($E$19:$E$42,"BIOPRO",$F$19:$F$42, "MEDIO")</f>
        <v>0</v>
      </c>
      <c r="M37" s="165">
        <f>COUNTIFS($E$19:$E$42,"BIOPRO",$F$19:$F$42, "MEDIO ALTO")</f>
        <v>4</v>
      </c>
      <c r="N37" s="165">
        <f>COUNTIFS($E$19:$E$42,"BIOPRO",$F$19:$F$42, "ALTO")</f>
        <v>5</v>
      </c>
    </row>
    <row r="38" ht="15.75" customHeight="1">
      <c r="A38" s="165">
        <v>21.0</v>
      </c>
      <c r="B38" s="165">
        <v>17.0</v>
      </c>
      <c r="C38" s="165">
        <v>36.0</v>
      </c>
      <c r="D38" s="165" t="s">
        <v>240</v>
      </c>
      <c r="E38" s="192" t="s">
        <v>59</v>
      </c>
      <c r="F38" s="193" t="s">
        <v>393</v>
      </c>
      <c r="I38" s="165">
        <f>COUNTIF($E$19:$E$42,"BIOAMIGO")</f>
        <v>7</v>
      </c>
      <c r="J38" s="165" t="s">
        <v>227</v>
      </c>
      <c r="K38" s="165">
        <f>COUNTIFS($E$19:$E$42,"BIAMIGO",$F$19:$F$42, "BAJO")</f>
        <v>0</v>
      </c>
      <c r="L38" s="165">
        <f>COUNTIFS($E$19:$E$42,"BIOAMIGO",$F$19:$F$42, "MEDIO")</f>
        <v>2</v>
      </c>
      <c r="M38" s="165">
        <f>COUNTIFS($E$19:$E$42,"BIOAMIGO",$F$19:$F$42, "MEDIO ALTO")</f>
        <v>1</v>
      </c>
      <c r="N38" s="165">
        <f>COUNTIFS($E$19:$E$42,"BIOAMIGO",$F$19:$F$42, "ALTO")</f>
        <v>4</v>
      </c>
    </row>
    <row r="39" ht="15.75" customHeight="1">
      <c r="A39" s="165">
        <v>22.0</v>
      </c>
      <c r="B39" s="165">
        <v>15.0</v>
      </c>
      <c r="C39" s="165">
        <v>38.0</v>
      </c>
      <c r="D39" s="165" t="s">
        <v>238</v>
      </c>
      <c r="E39" s="192" t="s">
        <v>234</v>
      </c>
      <c r="F39" s="193" t="s">
        <v>393</v>
      </c>
      <c r="I39" s="165">
        <v>3.0</v>
      </c>
      <c r="J39" s="165" t="s">
        <v>338</v>
      </c>
      <c r="K39" s="165">
        <v>1.0</v>
      </c>
      <c r="L39" s="165">
        <v>1.0</v>
      </c>
      <c r="M39" s="165">
        <v>0.0</v>
      </c>
      <c r="N39" s="165">
        <v>1.0</v>
      </c>
    </row>
    <row r="40" ht="15.75" customHeight="1">
      <c r="A40" s="165">
        <v>23.0</v>
      </c>
      <c r="B40" s="165">
        <v>17.0</v>
      </c>
      <c r="C40" s="165">
        <v>27.0</v>
      </c>
      <c r="D40" s="165" t="s">
        <v>241</v>
      </c>
      <c r="E40" s="200" t="s">
        <v>235</v>
      </c>
      <c r="F40" s="209" t="s">
        <v>394</v>
      </c>
      <c r="I40" s="165">
        <f>COUNTIF($E$19:$E$42,"ORGOSANTO")</f>
        <v>2</v>
      </c>
      <c r="J40" s="165" t="s">
        <v>183</v>
      </c>
      <c r="K40" s="165">
        <f>COUNTIFS($E$19:$E$42,"ORGOSANTO",$F$19:$F$42, "BAJO")</f>
        <v>0</v>
      </c>
      <c r="L40" s="165">
        <f>COUNTIFS($E$19:$E$42,"ORGOSANTO",$F$19:$F$42, "MEDIO")</f>
        <v>0</v>
      </c>
      <c r="M40" s="165">
        <f>COUNTIFS($E$19:$E$42,"ORGOSANTO",$F$19:$F$42, "MEDIO ALTO")</f>
        <v>2</v>
      </c>
      <c r="N40" s="165">
        <f>COUNTIFS($E$19:$E$42,"ORGOSANTO",$F$19:$F$42, "ALTO")</f>
        <v>0</v>
      </c>
    </row>
    <row r="41" ht="15.75" customHeight="1">
      <c r="A41" s="165">
        <v>24.0</v>
      </c>
      <c r="B41" s="165">
        <v>18.0</v>
      </c>
      <c r="C41" s="165">
        <v>24.0</v>
      </c>
      <c r="D41" s="165" t="s">
        <v>240</v>
      </c>
      <c r="E41" s="192" t="s">
        <v>234</v>
      </c>
      <c r="F41" s="193" t="s">
        <v>393</v>
      </c>
      <c r="I41" s="165">
        <f>COUNTIF($E$19:$E$42,"CROP PLUS")</f>
        <v>1</v>
      </c>
      <c r="J41" s="165" t="s">
        <v>236</v>
      </c>
      <c r="K41" s="165">
        <f>COUNTIFS($E$19:$E$42,"CROP PLUS",$F$19:$F$42, "BAJO")</f>
        <v>1</v>
      </c>
      <c r="L41" s="165">
        <f>COUNTIFS($E$19:$E$42,"CROP PLUS",$F$19:$F$42, "MEDIO")</f>
        <v>0</v>
      </c>
      <c r="M41" s="165">
        <f>COUNTIFS($E$19:$E$42,"CROP PLUS",$F$19:$F$42, "MEDIO ALTO")</f>
        <v>0</v>
      </c>
      <c r="N41" s="165">
        <f>COUNTIFS($E$19:$E$42,"CROP PLUS",$F$19:$F$42, "ALTO")</f>
        <v>0</v>
      </c>
    </row>
    <row r="42" ht="15.75" customHeight="1">
      <c r="A42" s="165">
        <v>25.0</v>
      </c>
      <c r="B42" s="165">
        <v>6.0</v>
      </c>
      <c r="C42" s="165">
        <v>15.0</v>
      </c>
      <c r="D42" s="165" t="s">
        <v>241</v>
      </c>
      <c r="E42" s="210" t="s">
        <v>236</v>
      </c>
      <c r="F42" s="204" t="s">
        <v>397</v>
      </c>
      <c r="I42" s="165">
        <f>COUNTIF($E$19:$E$42,"NITROESTEN")</f>
        <v>1</v>
      </c>
      <c r="J42" s="106" t="s">
        <v>331</v>
      </c>
      <c r="K42" s="165">
        <f>COUNTIFS($E$19:$E$42,"NITROESTEN",$F$19:$F$42, "BAJO")</f>
        <v>0</v>
      </c>
      <c r="L42" s="165">
        <f>COUNTIFS($E$19:$E$42,"NITROESTEN",$F$19:$F$42, "MEDIO")</f>
        <v>0</v>
      </c>
      <c r="M42" s="165">
        <f>COUNTIFS($E$19:$E$42,"NITROESTEN",$F$19:$F$42, "MEDIO ALTO")</f>
        <v>0</v>
      </c>
      <c r="N42" s="165">
        <f>COUNTIFS($E$19:$E$42,"NITROESTEN",$F$19:$F$42, "ALTO")</f>
        <v>1</v>
      </c>
    </row>
    <row r="43" ht="15.75" customHeight="1">
      <c r="A43" s="165"/>
      <c r="I43" s="165">
        <f>COUNTIF($E$19:$E$42,"ALBAMIN")</f>
        <v>1</v>
      </c>
      <c r="J43" s="165" t="s">
        <v>235</v>
      </c>
      <c r="K43" s="165">
        <f>COUNTIFS($E$19:$E$42,"ALBAMIN",$F$19:$F$42, "BAJO")</f>
        <v>0</v>
      </c>
      <c r="L43" s="165">
        <f>COUNTIFS($E$19:$E$42,"ALBAMIN",$F$19:$F$42, "MEDIO")</f>
        <v>1</v>
      </c>
      <c r="M43" s="165">
        <f>COUNTIFS($E$19:$E$42,"ALBAMIN",$F$19:$F$42, "MEDIO ALTO")</f>
        <v>0</v>
      </c>
      <c r="N43" s="165">
        <f>COUNTIFS($E$19:$E$42,"ALBAMIN",$F$19:$F$42, "ALTO")</f>
        <v>0</v>
      </c>
    </row>
    <row r="44" ht="15.75" customHeight="1"/>
    <row r="45" ht="15.75" customHeight="1">
      <c r="J45" s="89" t="s">
        <v>404</v>
      </c>
    </row>
    <row r="46" ht="15.75" customHeight="1">
      <c r="I46" s="208" t="s">
        <v>333</v>
      </c>
      <c r="J46" s="208" t="s">
        <v>334</v>
      </c>
      <c r="K46" s="208" t="s">
        <v>397</v>
      </c>
      <c r="L46" s="208" t="s">
        <v>394</v>
      </c>
      <c r="M46" s="211" t="s">
        <v>388</v>
      </c>
      <c r="N46" s="28"/>
    </row>
    <row r="47" ht="15.75" customHeight="1">
      <c r="B47" s="170" t="s">
        <v>356</v>
      </c>
      <c r="C47" s="80"/>
      <c r="D47" s="170" t="s">
        <v>355</v>
      </c>
      <c r="E47" s="80"/>
      <c r="I47" s="165">
        <f>COUNTIF(D19:D42, "MAIZ")</f>
        <v>19</v>
      </c>
      <c r="J47" s="165" t="s">
        <v>238</v>
      </c>
      <c r="K47" s="165">
        <v>1.0</v>
      </c>
      <c r="L47" s="165">
        <v>6.0</v>
      </c>
      <c r="M47" s="161">
        <v>12.0</v>
      </c>
      <c r="N47" s="28"/>
    </row>
    <row r="48" ht="15.75" customHeight="1">
      <c r="B48" s="195" t="s">
        <v>358</v>
      </c>
      <c r="C48" s="195" t="s">
        <v>360</v>
      </c>
      <c r="D48" s="172" t="s">
        <v>358</v>
      </c>
      <c r="E48" s="172" t="s">
        <v>359</v>
      </c>
      <c r="I48" s="165">
        <f>COUNTIF(D19:D42, "ARROZ")</f>
        <v>2</v>
      </c>
      <c r="J48" s="165" t="s">
        <v>241</v>
      </c>
      <c r="K48" s="165">
        <v>1.0</v>
      </c>
      <c r="L48" s="165">
        <v>1.0</v>
      </c>
      <c r="M48" s="161">
        <v>0.0</v>
      </c>
      <c r="N48" s="28"/>
    </row>
    <row r="49" ht="15.75" customHeight="1">
      <c r="B49" s="212" t="s">
        <v>361</v>
      </c>
      <c r="C49" s="212" t="s">
        <v>363</v>
      </c>
      <c r="D49" s="212" t="s">
        <v>361</v>
      </c>
      <c r="E49" s="212" t="s">
        <v>362</v>
      </c>
      <c r="I49" s="213">
        <f>COUNTIF(D19:D42, "SORGO")</f>
        <v>3</v>
      </c>
      <c r="J49" s="213" t="s">
        <v>240</v>
      </c>
      <c r="K49" s="213">
        <v>1.0</v>
      </c>
      <c r="L49" s="213">
        <v>2.0</v>
      </c>
      <c r="M49" s="214">
        <v>1.0</v>
      </c>
      <c r="N49" s="28"/>
    </row>
    <row r="50" ht="15.75" customHeight="1">
      <c r="B50" s="199" t="s">
        <v>289</v>
      </c>
      <c r="C50" s="199" t="s">
        <v>365</v>
      </c>
      <c r="D50" s="199" t="s">
        <v>289</v>
      </c>
      <c r="E50" s="199" t="s">
        <v>364</v>
      </c>
      <c r="I50" s="28"/>
      <c r="J50" s="28"/>
      <c r="K50" s="28"/>
      <c r="L50" s="28"/>
      <c r="M50" s="28"/>
      <c r="N50" s="28"/>
    </row>
    <row r="51" ht="15.75" customHeight="1">
      <c r="J51" s="89" t="s">
        <v>405</v>
      </c>
      <c r="M51" s="28"/>
      <c r="N51" s="28"/>
    </row>
    <row r="52" ht="15.75" customHeight="1">
      <c r="I52" s="208" t="s">
        <v>333</v>
      </c>
      <c r="J52" s="208" t="s">
        <v>334</v>
      </c>
      <c r="K52" s="208" t="s">
        <v>397</v>
      </c>
      <c r="L52" s="208" t="s">
        <v>394</v>
      </c>
      <c r="M52" s="208" t="s">
        <v>406</v>
      </c>
    </row>
    <row r="53" ht="15.75" customHeight="1">
      <c r="I53" s="165">
        <f>COUNTIF(D19:D42, "MAIZ")</f>
        <v>19</v>
      </c>
      <c r="J53" s="165" t="s">
        <v>238</v>
      </c>
      <c r="K53" s="165">
        <v>0.0</v>
      </c>
      <c r="L53" s="165">
        <v>4.0</v>
      </c>
      <c r="M53" s="165">
        <v>15.0</v>
      </c>
    </row>
    <row r="54" ht="15.75" customHeight="1">
      <c r="I54" s="165">
        <f>COUNTIF(D19:D42, "ARROZ")</f>
        <v>2</v>
      </c>
      <c r="J54" s="165" t="s">
        <v>241</v>
      </c>
      <c r="K54" s="165">
        <v>1.0</v>
      </c>
      <c r="L54" s="165">
        <v>0.0</v>
      </c>
      <c r="M54" s="165">
        <v>1.0</v>
      </c>
    </row>
    <row r="55" ht="15.75" customHeight="1">
      <c r="I55" s="165">
        <f>COUNTIF(D19:D42, "SORGO")</f>
        <v>3</v>
      </c>
      <c r="J55" s="165" t="s">
        <v>240</v>
      </c>
      <c r="K55" s="165">
        <v>0.0</v>
      </c>
      <c r="L55" s="165">
        <v>0.0</v>
      </c>
      <c r="M55" s="165">
        <v>3.0</v>
      </c>
    </row>
    <row r="56" ht="15.75" customHeight="1"/>
    <row r="57" ht="15.75" customHeight="1">
      <c r="J57" s="89" t="s">
        <v>407</v>
      </c>
    </row>
    <row r="58" ht="15.75" customHeight="1">
      <c r="I58" s="208" t="s">
        <v>333</v>
      </c>
      <c r="J58" s="208" t="s">
        <v>334</v>
      </c>
      <c r="K58" s="208" t="s">
        <v>397</v>
      </c>
      <c r="L58" s="208" t="s">
        <v>394</v>
      </c>
      <c r="M58" s="208" t="s">
        <v>393</v>
      </c>
      <c r="N58" s="208" t="s">
        <v>388</v>
      </c>
    </row>
    <row r="59" ht="15.75" customHeight="1">
      <c r="I59" s="165">
        <f>COUNTIF(D19:D42, "MAIZ")</f>
        <v>19</v>
      </c>
      <c r="J59" s="165" t="s">
        <v>238</v>
      </c>
      <c r="K59" s="165">
        <f>COUNTIFS($D$19:$D$42,"MAIZ",$F$19:$F$42, "BAJO")</f>
        <v>1</v>
      </c>
      <c r="L59" s="165">
        <f>COUNTIFS($D$19:$D$42,"MAIZ",$F$19:$F$42, "MEDIO")</f>
        <v>3</v>
      </c>
      <c r="M59" s="165">
        <f>COUNTIFS($D$19:$D$42,"MAIZ",$F$19:$F$42, "MEDIO ALTO")</f>
        <v>4</v>
      </c>
      <c r="N59" s="165">
        <f>COUNTIFS($D$19:$D$42,"MAIZ",$F$19:$F$42, "ALTO")</f>
        <v>11</v>
      </c>
    </row>
    <row r="60" ht="15.75" customHeight="1">
      <c r="I60" s="165">
        <f>COUNTIF(D19:D42, "ARROZ")</f>
        <v>2</v>
      </c>
      <c r="J60" s="165" t="s">
        <v>241</v>
      </c>
      <c r="K60" s="165">
        <f>COUNTIFS($D$19:$D$42,"ARROZ",$F$19:$F$42, "BAJO")</f>
        <v>1</v>
      </c>
      <c r="L60" s="165">
        <f>COUNTIFS($D$19:$D$42,"ARROZ",$F$19:$F$42, "MEDIO")</f>
        <v>1</v>
      </c>
      <c r="M60" s="165">
        <f>COUNTIFS($D$19:$D$42,"ARROZ",$F$19:$F$42, "MEDIO ALTO")</f>
        <v>0</v>
      </c>
      <c r="N60" s="165">
        <f>COUNTIFS($D$19:$D$42,"ARROZ",$F$19:$F$42, "ALTO")</f>
        <v>0</v>
      </c>
    </row>
    <row r="61" ht="15.75" customHeight="1">
      <c r="I61" s="165">
        <f>COUNTIF(D19:D42, "SORGO")</f>
        <v>3</v>
      </c>
      <c r="J61" s="165" t="s">
        <v>240</v>
      </c>
      <c r="K61" s="165">
        <f>COUNTIFS($D$19:$D$42,"SORGO",$F$19:$F$42, "BAJO")</f>
        <v>0</v>
      </c>
      <c r="L61" s="165">
        <f>COUNTIFS($D$19:$D$42,"SORGO",$F$19:$F$42, "MEDIO")</f>
        <v>0</v>
      </c>
      <c r="M61" s="165">
        <f>COUNTIFS($D$19:$D$42,"SORGO",$F$19:$F$42, "MEDIO ALTO")</f>
        <v>3</v>
      </c>
      <c r="N61" s="165">
        <f>COUNTIFS($D$19:$D$42,"SORGO",$F$19:$F$42, "ALTO")</f>
        <v>0</v>
      </c>
    </row>
    <row r="62" ht="15.75" customHeight="1"/>
    <row r="63" ht="15.75" customHeight="1">
      <c r="I63" s="191" t="s">
        <v>408</v>
      </c>
    </row>
    <row r="64" ht="15.75" customHeight="1"/>
    <row r="65" ht="15.75" customHeight="1">
      <c r="I65" s="208" t="s">
        <v>333</v>
      </c>
      <c r="J65" s="208"/>
      <c r="K65" s="208" t="s">
        <v>397</v>
      </c>
      <c r="L65" s="208" t="s">
        <v>394</v>
      </c>
      <c r="M65" s="208" t="s">
        <v>388</v>
      </c>
    </row>
    <row r="66" ht="15.75" customHeight="1">
      <c r="I66" s="165">
        <v>9.0</v>
      </c>
      <c r="J66" s="165" t="s">
        <v>59</v>
      </c>
      <c r="K66" s="165">
        <v>0.0</v>
      </c>
      <c r="L66" s="165">
        <v>4.0</v>
      </c>
      <c r="M66" s="165">
        <v>5.0</v>
      </c>
    </row>
    <row r="67" ht="15.75" customHeight="1">
      <c r="I67" s="165">
        <v>7.0</v>
      </c>
      <c r="J67" s="165" t="s">
        <v>227</v>
      </c>
      <c r="K67" s="165">
        <v>0.0</v>
      </c>
      <c r="L67" s="165">
        <v>2.0</v>
      </c>
      <c r="M67" s="165">
        <v>5.0</v>
      </c>
    </row>
    <row r="68" ht="15.75" customHeight="1">
      <c r="I68" s="165">
        <v>3.0</v>
      </c>
      <c r="J68" s="165" t="s">
        <v>338</v>
      </c>
      <c r="K68" s="165">
        <v>1.0</v>
      </c>
      <c r="L68" s="165">
        <v>1.0</v>
      </c>
      <c r="M68" s="165">
        <v>1.0</v>
      </c>
    </row>
    <row r="69" ht="15.75" customHeight="1">
      <c r="I69" s="165">
        <v>2.0</v>
      </c>
      <c r="J69" s="134" t="s">
        <v>183</v>
      </c>
      <c r="K69" s="165">
        <v>0.0</v>
      </c>
      <c r="L69" s="165">
        <v>1.0</v>
      </c>
      <c r="M69" s="165">
        <v>1.0</v>
      </c>
    </row>
    <row r="70" ht="15.75" customHeight="1">
      <c r="I70" s="165">
        <v>1.0</v>
      </c>
      <c r="J70" s="165" t="s">
        <v>236</v>
      </c>
      <c r="K70" s="165">
        <v>1.0</v>
      </c>
      <c r="L70" s="165">
        <v>0.0</v>
      </c>
      <c r="M70" s="165">
        <v>0.0</v>
      </c>
    </row>
    <row r="71" ht="15.75" customHeight="1">
      <c r="I71" s="165">
        <v>1.0</v>
      </c>
      <c r="J71" s="106" t="s">
        <v>331</v>
      </c>
      <c r="K71" s="165">
        <v>0.0</v>
      </c>
      <c r="L71" s="165">
        <v>0.0</v>
      </c>
      <c r="M71" s="165">
        <v>1.0</v>
      </c>
    </row>
    <row r="72" ht="15.75" customHeight="1">
      <c r="I72" s="213">
        <v>1.0</v>
      </c>
      <c r="J72" s="213" t="s">
        <v>409</v>
      </c>
      <c r="K72" s="213">
        <v>0.0</v>
      </c>
      <c r="L72" s="213">
        <v>1.0</v>
      </c>
      <c r="M72" s="213">
        <v>0.0</v>
      </c>
    </row>
    <row r="73" ht="15.75" customHeight="1">
      <c r="H73" s="215" t="s">
        <v>410</v>
      </c>
    </row>
    <row r="74" ht="15.75" customHeight="1"/>
    <row r="75" ht="15.75" customHeight="1">
      <c r="I75" s="216" t="s">
        <v>333</v>
      </c>
      <c r="J75" s="217"/>
      <c r="K75" s="217" t="s">
        <v>397</v>
      </c>
      <c r="L75" s="217" t="s">
        <v>394</v>
      </c>
      <c r="M75" s="217" t="s">
        <v>388</v>
      </c>
    </row>
    <row r="76" ht="15.75" customHeight="1">
      <c r="I76" s="163">
        <v>9.0</v>
      </c>
      <c r="J76" s="165" t="s">
        <v>59</v>
      </c>
      <c r="K76" s="165">
        <v>0.0</v>
      </c>
      <c r="L76" s="165">
        <v>0.0</v>
      </c>
      <c r="M76" s="165">
        <v>9.0</v>
      </c>
    </row>
    <row r="77" ht="15.75" customHeight="1">
      <c r="I77" s="163">
        <v>7.0</v>
      </c>
      <c r="J77" s="165" t="s">
        <v>227</v>
      </c>
      <c r="K77" s="165">
        <v>0.0</v>
      </c>
      <c r="L77" s="165">
        <v>3.0</v>
      </c>
      <c r="M77" s="165">
        <v>4.0</v>
      </c>
    </row>
    <row r="78" ht="15.75" customHeight="1">
      <c r="I78" s="163">
        <v>3.0</v>
      </c>
      <c r="J78" s="165" t="s">
        <v>338</v>
      </c>
      <c r="K78" s="165">
        <v>1.0</v>
      </c>
      <c r="L78" s="165">
        <v>1.0</v>
      </c>
      <c r="M78" s="165">
        <v>1.0</v>
      </c>
    </row>
    <row r="79" ht="15.75" customHeight="1">
      <c r="I79" s="163">
        <v>2.0</v>
      </c>
      <c r="J79" s="134" t="s">
        <v>183</v>
      </c>
      <c r="K79" s="165">
        <v>0.0</v>
      </c>
      <c r="L79" s="165">
        <v>1.0</v>
      </c>
      <c r="M79" s="165">
        <v>1.0</v>
      </c>
      <c r="P79" s="28"/>
      <c r="Q79" s="28"/>
      <c r="R79" s="28"/>
      <c r="S79" s="28"/>
    </row>
    <row r="80" ht="15.75" customHeight="1">
      <c r="I80" s="163">
        <v>1.0</v>
      </c>
      <c r="J80" s="165" t="s">
        <v>236</v>
      </c>
      <c r="K80" s="165">
        <v>1.0</v>
      </c>
      <c r="L80" s="165">
        <v>0.0</v>
      </c>
      <c r="M80" s="165">
        <v>0.0</v>
      </c>
      <c r="P80" s="28"/>
      <c r="Q80" s="28"/>
      <c r="R80" s="28"/>
      <c r="S80" s="28"/>
    </row>
    <row r="81" ht="15.75" customHeight="1">
      <c r="I81" s="163">
        <v>1.0</v>
      </c>
      <c r="J81" s="106" t="s">
        <v>331</v>
      </c>
      <c r="K81" s="165">
        <v>0.0</v>
      </c>
      <c r="L81" s="165">
        <v>0.0</v>
      </c>
      <c r="M81" s="165">
        <v>1.0</v>
      </c>
      <c r="P81" s="28"/>
      <c r="Q81" s="28"/>
      <c r="R81" s="28"/>
      <c r="S81" s="28"/>
    </row>
    <row r="82" ht="15.75" customHeight="1">
      <c r="I82" s="163">
        <v>1.0</v>
      </c>
      <c r="J82" s="165" t="s">
        <v>409</v>
      </c>
      <c r="K82" s="165">
        <v>0.0</v>
      </c>
      <c r="L82" s="165">
        <v>1.0</v>
      </c>
      <c r="M82" s="165">
        <v>0.0</v>
      </c>
      <c r="P82" s="28"/>
      <c r="Q82" s="28"/>
      <c r="R82" s="28"/>
      <c r="S82" s="28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J51:L51"/>
    <mergeCell ref="J57:L57"/>
    <mergeCell ref="I63:M64"/>
    <mergeCell ref="H64:H72"/>
    <mergeCell ref="N64:N72"/>
    <mergeCell ref="H73:M74"/>
    <mergeCell ref="N73:N82"/>
    <mergeCell ref="H75:H82"/>
    <mergeCell ref="D1:F1"/>
    <mergeCell ref="L2:M2"/>
    <mergeCell ref="D3:E3"/>
    <mergeCell ref="J35:L35"/>
    <mergeCell ref="J45:L45"/>
    <mergeCell ref="B47:C47"/>
    <mergeCell ref="D47:E47"/>
  </mergeCells>
  <conditionalFormatting sqref="B19:B43 C19:C45 D44:D45">
    <cfRule type="cellIs" dxfId="5" priority="1" operator="greaterThanOrEqual">
      <formula>18</formula>
    </cfRule>
  </conditionalFormatting>
  <conditionalFormatting sqref="B19:B43 C19:C45 D44:D45">
    <cfRule type="cellIs" dxfId="6" priority="2" operator="lessThanOrEqual">
      <formula>13</formula>
    </cfRule>
  </conditionalFormatting>
  <conditionalFormatting sqref="B19:B43">
    <cfRule type="notContainsBlanks" dxfId="7" priority="3">
      <formula>LEN(TRIM(B19))&gt;0</formula>
    </cfRule>
  </conditionalFormatting>
  <conditionalFormatting sqref="C19:C43 D45">
    <cfRule type="cellIs" dxfId="8" priority="4" operator="greaterThan">
      <formula>31</formula>
    </cfRule>
  </conditionalFormatting>
  <conditionalFormatting sqref="C19:C43 D45">
    <cfRule type="cellIs" dxfId="6" priority="5" operator="lessThanOrEqual">
      <formula>16</formula>
    </cfRule>
  </conditionalFormatting>
  <conditionalFormatting sqref="C19:C43 D45">
    <cfRule type="notContainsBlanks" dxfId="7" priority="6">
      <formula>LEN(TRIM(C19))&gt;0</formula>
    </cfRule>
  </conditionalFormatting>
  <drawing r:id="rId1"/>
</worksheet>
</file>